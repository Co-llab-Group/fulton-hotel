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Deal Summary" sheetId="1" state="visible" r:id="rId3"/>
    <sheet name="Project Timeline" sheetId="2" state="visible" r:id="rId4"/>
    <sheet name="Capital Stack" sheetId="3" state="visible" r:id="rId5"/>
    <sheet name="Renovation Budget" sheetId="4" state="visible" r:id="rId6"/>
    <sheet name="Operating Model" sheetId="5" state="visible" r:id="rId7"/>
    <sheet name="Validation" sheetId="6" state="hidden"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<sst xmlns="http://schemas.openxmlformats.org/spreadsheetml/2006/main" count="392" uniqueCount="311">
  <si>
    <t xml:space="preserve">FULTON HOTEL - INVESTMENT SUMMARY</t>
  </si>
  <si>
    <t xml:space="preserve">Property</t>
  </si>
  <si>
    <t xml:space="preserve">2208-2210 Fulton Ave, Cincinnati OH 45206</t>
  </si>
  <si>
    <t xml:space="preserve">Neighborhood</t>
  </si>
  <si>
    <t xml:space="preserve">East Walnut Hills</t>
  </si>
  <si>
    <t xml:space="preserve">Zoning</t>
  </si>
  <si>
    <t xml:space="preserve">RMX-MH (no parking min, no density limit)</t>
  </si>
  <si>
    <t xml:space="preserve">Building</t>
  </si>
  <si>
    <t xml:space="preserve">3-story, ~12,000 SF</t>
  </si>
  <si>
    <t xml:space="preserve">Unit Mix</t>
  </si>
  <si>
    <t xml:space="preserve">12 Standard + 4 Loft = 16 micro-suites</t>
  </si>
  <si>
    <t xml:space="preserve">Acquisition</t>
  </si>
  <si>
    <t xml:space="preserve">$0 (already owned)</t>
  </si>
  <si>
    <t xml:space="preserve">PROJECT COST &amp; CAPITAL STACK</t>
  </si>
  <si>
    <t xml:space="preserve">Renovation Budget</t>
  </si>
  <si>
    <t xml:space="preserve">Capitalized Interest</t>
  </si>
  <si>
    <t xml:space="preserve">Pre-Opening Costs</t>
  </si>
  <si>
    <t xml:space="preserve">Total Project Cost</t>
  </si>
  <si>
    <t xml:space="preserve">Senior Debt (75%)</t>
  </si>
  <si>
    <t xml:space="preserve">Total Equity (25%)</t>
  </si>
  <si>
    <t xml:space="preserve">  Sponsor (30%)</t>
  </si>
  <si>
    <t xml:space="preserve">  Investor (70%)</t>
  </si>
  <si>
    <t xml:space="preserve">5-YEAR OPERATING SUMMARY</t>
  </si>
  <si>
    <t xml:space="preserve">Year 1</t>
  </si>
  <si>
    <t xml:space="preserve">Year 2</t>
  </si>
  <si>
    <t xml:space="preserve">Year 3</t>
  </si>
  <si>
    <t xml:space="preserve">Year 4</t>
  </si>
  <si>
    <t xml:space="preserve">Year 5</t>
  </si>
  <si>
    <t xml:space="preserve">Occupancy</t>
  </si>
  <si>
    <t xml:space="preserve">Gross Revenue</t>
  </si>
  <si>
    <t xml:space="preserve">Operating Expenses</t>
  </si>
  <si>
    <t xml:space="preserve">NOI</t>
  </si>
  <si>
    <t xml:space="preserve">Debt Service</t>
  </si>
  <si>
    <t xml:space="preserve">Cash Flow Before Tax</t>
  </si>
  <si>
    <t xml:space="preserve">Cash-on-Cash Return</t>
  </si>
  <si>
    <t xml:space="preserve">DSCR</t>
  </si>
  <si>
    <t xml:space="preserve">OER</t>
  </si>
  <si>
    <t xml:space="preserve">KEY HIGHLIGHTS</t>
  </si>
  <si>
    <t xml:space="preserve">Construction Period</t>
  </si>
  <si>
    <t xml:space="preserve">9 months</t>
  </si>
  <si>
    <t xml:space="preserve">Monthly P&amp;I</t>
  </si>
  <si>
    <t xml:space="preserve">Breakeven Occupancy</t>
  </si>
  <si>
    <t xml:space="preserve">Investor Preferred Return (annual)</t>
  </si>
  <si>
    <t xml:space="preserve">Simple Payback (years)</t>
  </si>
  <si>
    <t xml:space="preserve">PROJECT TIMELINE - CONSTRUCTION THROUGH YEAR 1</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</si>
  <si>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</si>
  <si>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</si>
  <si>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</si>
  <si>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</si>
  <si>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</si>
  <si>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</si>
  <si>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</si>
  <si>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</si>
  <si>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</si>
  <si>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</si>
  <si>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</si>
  <si>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</si>
  <si>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</si>
  <si>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</si>
  <si>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</si>
  <si>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</si>
  <si>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</si>
  <si>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</si>
  <si>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</si>
  <si>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</si>
  <si>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</si>
  <si>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TOTAL</t>
  </si>
  <si>
    <t xml:space="preserve">(Const)</t>
  </si>
  <si>
    <t xml:space="preserve">(Ops 1)</t>
  </si>
  <si>
    <t xml:space="preserve">(Ops 2)</t>
  </si>
  <si>
    <t xml:space="preserve">(Ops 3)</t>
  </si>
  <si>
    <t xml:space="preserve">(Ops 4)</t>
  </si>
  <si>
    <t xml:space="preserve">(Ops 5)</t>
  </si>
  <si>
    <t xml:space="preserve">(Ops 6)</t>
  </si>
  <si>
    <t xml:space="preserve">(Ops 7)</t>
  </si>
  <si>
    <t xml:space="preserve">(Ops 8)</t>
  </si>
  <si>
    <t xml:space="preserve">(Ops 9)</t>
  </si>
  <si>
    <t xml:space="preserve">(Ops 10)</t>
  </si>
  <si>
    <t xml:space="preserve">(Ops 11)</t>
  </si>
  <si>
    <t xml:space="preserve">(Ops 12)</t>
  </si>
  <si>
    <t xml:space="preserve">RENOVATION DRAW SCHEDULE</t>
  </si>
  <si>
    <t xml:space="preserve">Unit Renovations</t>
  </si>
  <si>
    <t xml:space="preserve">Common Areas</t>
  </si>
  <si>
    <t xml:space="preserve">Building Systems</t>
  </si>
  <si>
    <t xml:space="preserve">Exterior</t>
  </si>
  <si>
    <t xml:space="preserve">Soft Costs</t>
  </si>
  <si>
    <t xml:space="preserve">Contingency</t>
  </si>
  <si>
    <t xml:space="preserve">MONTHLY DRAW TOTAL</t>
  </si>
  <si>
    <t xml:space="preserve">CUMULATIVE DRAWS</t>
  </si>
  <si>
    <t xml:space="preserve">INTEREST CARRY</t>
  </si>
  <si>
    <t xml:space="preserve">Drawn Loan Balance (75%)</t>
  </si>
  <si>
    <t xml:space="preserve">Monthly Interest</t>
  </si>
  <si>
    <t xml:space="preserve">CUMULATIVE INTEREST</t>
  </si>
  <si>
    <t xml:space="preserve">PRE-OPENING COSTS</t>
  </si>
  <si>
    <t xml:space="preserve">Staff Hiring &amp; Training</t>
  </si>
  <si>
    <t xml:space="preserve">Marketing &amp; Website</t>
  </si>
  <si>
    <t xml:space="preserve">OTA Setup &amp; Photography</t>
  </si>
  <si>
    <t xml:space="preserve">Initial Inventory</t>
  </si>
  <si>
    <t xml:space="preserve">Licensing &amp; Permits</t>
  </si>
  <si>
    <t xml:space="preserve">MONTHLY PRE-OPENING</t>
  </si>
  <si>
    <t xml:space="preserve">CUMULATIVE PRE-OPENING</t>
  </si>
  <si>
    <t xml:space="preserve">PROJECT CASH FLOW</t>
  </si>
  <si>
    <t xml:space="preserve">SOURCES</t>
  </si>
  <si>
    <t xml:space="preserve">Loan Draws</t>
  </si>
  <si>
    <t xml:space="preserve">Equity Deployed</t>
  </si>
  <si>
    <t xml:space="preserve">Operating Revenue</t>
  </si>
  <si>
    <t xml:space="preserve">TOTAL INFLOWS</t>
  </si>
  <si>
    <t xml:space="preserve">USES</t>
  </si>
  <si>
    <t xml:space="preserve">Renovation Spending</t>
  </si>
  <si>
    <t xml:space="preserve">Interest Carry</t>
  </si>
  <si>
    <t xml:space="preserve">Debt Service (P&amp;I)</t>
  </si>
  <si>
    <t xml:space="preserve">TOTAL OUTFLOWS</t>
  </si>
  <si>
    <t xml:space="preserve">NET MONTHLY CASH FLOW</t>
  </si>
  <si>
    <t xml:space="preserve">CUMULATIVE CASH FLOW</t>
  </si>
  <si>
    <t xml:space="preserve">CUMULATIVE EQUITY DEPLOYED</t>
  </si>
  <si>
    <t xml:space="preserve">CONSTRUCTION PERIOD SUMMARY</t>
  </si>
  <si>
    <t xml:space="preserve">Total Renovation Draws</t>
  </si>
  <si>
    <t xml:space="preserve">Total Capitalized Interest</t>
  </si>
  <si>
    <t xml:space="preserve">Total Pre-Opening Costs</t>
  </si>
  <si>
    <t xml:space="preserve">ADJUSTED PROJECT COST</t>
  </si>
  <si>
    <t xml:space="preserve">CAPITAL STACK &amp; INVESTOR RETURNS</t>
  </si>
  <si>
    <t xml:space="preserve">CAPITAL STRUCTURE</t>
  </si>
  <si>
    <t xml:space="preserve">Source</t>
  </si>
  <si>
    <t xml:space="preserve">Amount</t>
  </si>
  <si>
    <t xml:space="preserve">% of Total</t>
  </si>
  <si>
    <t xml:space="preserve">Terms</t>
  </si>
  <si>
    <t xml:space="preserve">TOTAL PROJECT COST</t>
  </si>
  <si>
    <t xml:space="preserve">Senior Debt</t>
  </si>
  <si>
    <t xml:space="preserve">7.5%, 20yr amort, 5yr term</t>
  </si>
  <si>
    <t xml:space="preserve">Total Equity</t>
  </si>
  <si>
    <t xml:space="preserve">  Sponsor Equity</t>
  </si>
  <si>
    <t xml:space="preserve">  Investor Equity</t>
  </si>
  <si>
    <t xml:space="preserve">TOTAL CAPITALIZATION</t>
  </si>
  <si>
    <t xml:space="preserve">DEBT SERVICE</t>
  </si>
  <si>
    <t xml:space="preserve">Annual Debt Service</t>
  </si>
  <si>
    <t xml:space="preserve">Loan Maturity</t>
  </si>
  <si>
    <t xml:space="preserve">Month 60 (Year 5)</t>
  </si>
  <si>
    <t xml:space="preserve">INVESTOR CASH FLOW WATERFALL</t>
  </si>
  <si>
    <t xml:space="preserve">Preferred Return (8%)</t>
  </si>
  <si>
    <t xml:space="preserve">Remaining After Preferred</t>
  </si>
  <si>
    <t xml:space="preserve">Investor Share (70%)</t>
  </si>
  <si>
    <t xml:space="preserve">Sponsor Share (30%)</t>
  </si>
  <si>
    <t xml:space="preserve">Total to Investor</t>
  </si>
  <si>
    <t xml:space="preserve">Total to Sponsor</t>
  </si>
  <si>
    <t xml:space="preserve">INVESTOR METRICS</t>
  </si>
  <si>
    <t xml:space="preserve">Cumulative to Investor</t>
  </si>
  <si>
    <t xml:space="preserve">Investor Equity Multiple</t>
  </si>
  <si>
    <t xml:space="preserve">Investor Cash-on-Cash</t>
  </si>
  <si>
    <t xml:space="preserve">Sponsor Cash-on-Cash</t>
  </si>
  <si>
    <t xml:space="preserve">RENOVATION BUDGET</t>
  </si>
  <si>
    <t xml:space="preserve">Category</t>
  </si>
  <si>
    <t xml:space="preserve">Description</t>
  </si>
  <si>
    <t xml:space="preserve">Quantity</t>
  </si>
  <si>
    <t xml:space="preserve">Unit Cost</t>
  </si>
  <si>
    <t xml:space="preserve">Total</t>
  </si>
  <si>
    <t xml:space="preserve">UNIT RENOVATIONS</t>
  </si>
  <si>
    <t xml:space="preserve">Standard Room Renovation</t>
  </si>
  <si>
    <t xml:space="preserve">Loft Suite Conversion</t>
  </si>
  <si>
    <t xml:space="preserve">ADA Compliance</t>
  </si>
  <si>
    <t xml:space="preserve">Subtotal Units</t>
  </si>
  <si>
    <t xml:space="preserve">COMMON AREAS</t>
  </si>
  <si>
    <t xml:space="preserve">Lobby Renovation</t>
  </si>
  <si>
    <t xml:space="preserve">Hallway Updates</t>
  </si>
  <si>
    <t xml:space="preserve">Front Porch</t>
  </si>
  <si>
    <t xml:space="preserve">Basement Lounge</t>
  </si>
  <si>
    <t xml:space="preserve">Rooftop Deck (OPTIONAL)</t>
  </si>
  <si>
    <t xml:space="preserve">Subtotal Common</t>
  </si>
  <si>
    <t xml:space="preserve">BUILDING SYSTEMS</t>
  </si>
  <si>
    <t xml:space="preserve">HVAC</t>
  </si>
  <si>
    <t xml:space="preserve">Electrical</t>
  </si>
  <si>
    <t xml:space="preserve">Plumbing</t>
  </si>
  <si>
    <t xml:space="preserve">Fire Safety</t>
  </si>
  <si>
    <t xml:space="preserve">Security System</t>
  </si>
  <si>
    <t xml:space="preserve">WiFi Infrastructure</t>
  </si>
  <si>
    <t xml:space="preserve">Subtotal Systems</t>
  </si>
  <si>
    <t xml:space="preserve">EXTERIOR</t>
  </si>
  <si>
    <t xml:space="preserve">Facade Restoration</t>
  </si>
  <si>
    <t xml:space="preserve">Parking Lot</t>
  </si>
  <si>
    <t xml:space="preserve">Signage</t>
  </si>
  <si>
    <t xml:space="preserve">Exterior Lighting</t>
  </si>
  <si>
    <t xml:space="preserve">Subtotal Exterior</t>
  </si>
  <si>
    <t xml:space="preserve">TOTAL HARD COSTS</t>
  </si>
  <si>
    <t xml:space="preserve">SOFT COSTS</t>
  </si>
  <si>
    <t xml:space="preserve">Architecture &amp; Engineering (8%)</t>
  </si>
  <si>
    <t xml:space="preserve">Permits &amp; Fees</t>
  </si>
  <si>
    <t xml:space="preserve">Legal</t>
  </si>
  <si>
    <t xml:space="preserve">Total Soft Costs</t>
  </si>
  <si>
    <t xml:space="preserve">Contingency (10% of hard)</t>
  </si>
  <si>
    <t xml:space="preserve">TOTAL RENOVATION BUDGET</t>
  </si>
  <si>
    <t xml:space="preserve">Per-Unit Cost</t>
  </si>
  <si>
    <t xml:space="preserve">OPERATING MODEL</t>
  </si>
  <si>
    <t xml:space="preserve">SECTION A: KEY ASSUMPTIONS</t>
  </si>
  <si>
    <t xml:space="preserve">Fulton Hotel, 2208-2210 Fulton Ave</t>
  </si>
  <si>
    <t xml:space="preserve">Standard Rooms</t>
  </si>
  <si>
    <t xml:space="preserve">Loft Suites</t>
  </si>
  <si>
    <t xml:space="preserve">Total Units</t>
  </si>
  <si>
    <t xml:space="preserve">Building SF</t>
  </si>
  <si>
    <t xml:space="preserve">RATE STRUCTURE</t>
  </si>
  <si>
    <t xml:space="preserve">Standard Nightly Rate</t>
  </si>
  <si>
    <t xml:space="preserve">Loft Nightly Rate</t>
  </si>
  <si>
    <t xml:space="preserve">Weekly Discount</t>
  </si>
  <si>
    <t xml:space="preserve">Monthly Discount</t>
  </si>
  <si>
    <t xml:space="preserve">Stay Mix - Nightly</t>
  </si>
  <si>
    <t xml:space="preserve">Stay Mix - Weekly</t>
  </si>
  <si>
    <t xml:space="preserve">Stay Mix - Monthly</t>
  </si>
  <si>
    <t xml:space="preserve">Blended Std Nightly</t>
  </si>
  <si>
    <t xml:space="preserve">Blended Loft Nightly</t>
  </si>
  <si>
    <t xml:space="preserve">OCCUPANCY RAMP</t>
  </si>
  <si>
    <t xml:space="preserve">Ops Months 1-3</t>
  </si>
  <si>
    <t xml:space="preserve">Ops Months 4-6</t>
  </si>
  <si>
    <t xml:space="preserve">Ops Months 7-12</t>
  </si>
  <si>
    <t xml:space="preserve">Year 3+ (Stabilized)</t>
  </si>
  <si>
    <t xml:space="preserve">Year 1 Avg Occupancy</t>
  </si>
  <si>
    <t xml:space="preserve">GROWTH RATES</t>
  </si>
  <si>
    <t xml:space="preserve">Revenue Growth</t>
  </si>
  <si>
    <t xml:space="preserve">Expense Growth</t>
  </si>
  <si>
    <t xml:space="preserve">Property Tax Growth</t>
  </si>
  <si>
    <t xml:space="preserve">OPERATING EXPENSES (per unit/month)</t>
  </si>
  <si>
    <t xml:space="preserve">Utilities</t>
  </si>
  <si>
    <t xml:space="preserve">Insurance</t>
  </si>
  <si>
    <t xml:space="preserve">Maintenance</t>
  </si>
  <si>
    <t xml:space="preserve">Cleaning/Turnover</t>
  </si>
  <si>
    <t xml:space="preserve">Supplies</t>
  </si>
  <si>
    <t xml:space="preserve">WiFi/Tech</t>
  </si>
  <si>
    <t xml:space="preserve">Total Per-Unit Monthly</t>
  </si>
  <si>
    <t xml:space="preserve">REVENUE-BASED FEES</t>
  </si>
  <si>
    <t xml:space="preserve">Management Fee %</t>
  </si>
  <si>
    <t xml:space="preserve">Platform/Booking Fee %</t>
  </si>
  <si>
    <t xml:space="preserve">Replacement Reserves %</t>
  </si>
  <si>
    <t xml:space="preserve">FIXED COSTS (monthly)</t>
  </si>
  <si>
    <t xml:space="preserve">Front Desk / PM</t>
  </si>
  <si>
    <t xml:space="preserve">Cleaning Staff (per turnover)</t>
  </si>
  <si>
    <t xml:space="preserve">Avg Turnovers/Unit/Month</t>
  </si>
  <si>
    <t xml:space="preserve">Cleaning Staff Monthly</t>
  </si>
  <si>
    <t xml:space="preserve">Maintenance Staff</t>
  </si>
  <si>
    <t xml:space="preserve">Linen Service</t>
  </si>
  <si>
    <t xml:space="preserve">Property Taxes (annual)</t>
  </si>
  <si>
    <t xml:space="preserve">Marketing (Year 1 monthly)</t>
  </si>
  <si>
    <t xml:space="preserve">Marketing (Stabilized monthly)</t>
  </si>
  <si>
    <t xml:space="preserve">Other Income per unit/mo</t>
  </si>
  <si>
    <t xml:space="preserve">Other Income base/mo</t>
  </si>
  <si>
    <t xml:space="preserve">FINANCING</t>
  </si>
  <si>
    <t xml:space="preserve">Interest Rate</t>
  </si>
  <si>
    <t xml:space="preserve">Amortization (years)</t>
  </si>
  <si>
    <t xml:space="preserve">Loan Term (years)</t>
  </si>
  <si>
    <t xml:space="preserve">LTC Ratio</t>
  </si>
  <si>
    <t xml:space="preserve">Sponsor Equity %</t>
  </si>
  <si>
    <t xml:space="preserve">Investor Equity %</t>
  </si>
  <si>
    <t xml:space="preserve">Investor Preferred Return</t>
  </si>
  <si>
    <t xml:space="preserve">SECTION B: REVENUE - YEAR 1 MONTHLY</t>
  </si>
  <si>
    <t xml:space="preserve">Month 1</t>
  </si>
  <si>
    <t xml:space="preserve">Month 2</t>
  </si>
  <si>
    <t xml:space="preserve">Month 3</t>
  </si>
  <si>
    <t xml:space="preserve">Month 4</t>
  </si>
  <si>
    <t xml:space="preserve">Month 5</t>
  </si>
  <si>
    <t xml:space="preserve">Month 6</t>
  </si>
  <si>
    <t xml:space="preserve">Month 7</t>
  </si>
  <si>
    <t xml:space="preserve">Month 8</t>
  </si>
  <si>
    <t xml:space="preserve">Month 9</t>
  </si>
  <si>
    <t xml:space="preserve">Month 10</t>
  </si>
  <si>
    <t xml:space="preserve">Month 11</t>
  </si>
  <si>
    <t xml:space="preserve">Month 12</t>
  </si>
  <si>
    <t xml:space="preserve">Annual</t>
  </si>
  <si>
    <t xml:space="preserve">Occupancy Rate</t>
  </si>
  <si>
    <t xml:space="preserve">Standard Room Revenue</t>
  </si>
  <si>
    <t xml:space="preserve">Loft Suite Revenue</t>
  </si>
  <si>
    <t xml:space="preserve">Other Income</t>
  </si>
  <si>
    <t xml:space="preserve">GROSS REVENUE</t>
  </si>
  <si>
    <t xml:space="preserve">REVENUE - 5-YEAR SUMMARY</t>
  </si>
  <si>
    <t xml:space="preserve">Avg Occupancy</t>
  </si>
  <si>
    <t xml:space="preserve">SECTION C: PROFIT &amp; LOSS</t>
  </si>
  <si>
    <t xml:space="preserve">OPERATING EXPENSES</t>
  </si>
  <si>
    <t xml:space="preserve">Management Fee</t>
  </si>
  <si>
    <t xml:space="preserve">Platform Fees</t>
  </si>
  <si>
    <t xml:space="preserve">Replacement Reserves</t>
  </si>
  <si>
    <t xml:space="preserve">Property Taxes</t>
  </si>
  <si>
    <t xml:space="preserve">Marketing</t>
  </si>
  <si>
    <t xml:space="preserve">Cleaning Staff</t>
  </si>
  <si>
    <t xml:space="preserve">TOTAL OPERATING EXPENSES</t>
  </si>
  <si>
    <t xml:space="preserve">CASH FLOW BEFORE TAX</t>
  </si>
  <si>
    <t xml:space="preserve">KEY RATIOS</t>
  </si>
  <si>
    <t xml:space="preserve">Cash-on-Cash</t>
  </si>
  <si>
    <t xml:space="preserve">SECTION D: MONTHLY CASH FLOW - YEAR 1</t>
  </si>
  <si>
    <t xml:space="preserve">Total Monthly OpEx</t>
  </si>
  <si>
    <t xml:space="preserve">Monthly NOI</t>
  </si>
  <si>
    <t xml:space="preserve">NET CASH FLOW</t>
  </si>
  <si>
    <t xml:space="preserve">Cumulative Cash Flow</t>
  </si>
  <si>
    <t xml:space="preserve">VALIDATION CHECKS</t>
  </si>
  <si>
    <t xml:space="preserve">Invariant-based checks for the live workbook model</t>
  </si>
  <si>
    <t xml:space="preserve">Test</t>
  </si>
  <si>
    <t xml:space="preserve">Expected</t>
  </si>
  <si>
    <t xml:space="preserve">Actual</t>
  </si>
  <si>
    <t xml:space="preserve">Status</t>
  </si>
  <si>
    <t xml:space="preserve">Project Cost = Reno + Interest + PreOpen</t>
  </si>
  <si>
    <t xml:space="preserve">Loan = 75% of Project Cost</t>
  </si>
  <si>
    <t xml:space="preserve">Equity = Project Cost - Loan</t>
  </si>
  <si>
    <t xml:space="preserve">Sponsor + Investor = Total Equity</t>
  </si>
  <si>
    <t xml:space="preserve">Annual Debt Service = Monthly x 12</t>
  </si>
  <si>
    <t xml:space="preserve">Year 1 NOI = Revenue - OpEx</t>
  </si>
  <si>
    <t xml:space="preserve">Year 1 CFBT = NOI - Debt Service</t>
  </si>
  <si>
    <t xml:space="preserve">Year 1 DSCR = NOI / Debt Service</t>
  </si>
  <si>
    <t xml:space="preserve">Cash-on-Cash = CFBT / Equity</t>
  </si>
  <si>
    <t xml:space="preserve">Waterfall: Pref + InvShare + SponShare = CFBT</t>
  </si>
  <si>
    <t xml:space="preserve">Year 1 Revenue (annual) = Sum of Monthly</t>
  </si>
  <si>
    <t xml:space="preserve">Year 1 Monthly CF Sum = Annual CFBT</t>
  </si>
  <si>
    <t xml:space="preserve">Timeline Renovation Spend = Renovation Budget</t>
  </si>
  <si>
    <t xml:space="preserve">Timeline Debt Funding = Senior Debt</t>
  </si>
  <si>
    <t xml:space="preserve">Timeline Equity Funding = Total Equity</t>
  </si>
  <si>
    <t xml:space="preserve">Timeline Net = Inflows - Outflows</t>
  </si>
  <si>
    <t xml:space="preserve">Breakeven Occupancy &lt; Stabilized Occupancy</t>
  </si>
  <si>
    <t xml:space="preserve">TOTAL TESTS PASSING</t>
  </si>
</sst>
</file>

<file path=xl/styles.xml><?xml version="1.0" encoding="utf-8"?>
<styleSheet xmlns="http://schemas.openxmlformats.org/spreadsheetml/2006/main">
  <numFmts count="6">
    <numFmt numFmtId="164" formatCode="General"/>
    <numFmt numFmtId="165" formatCode="\$#,##0"/>
    <numFmt numFmtId="166" formatCode="0.0%"/>
    <numFmt numFmtId="167" formatCode="0.00"/>
    <numFmt numFmtId="168" formatCode="0.0"/>
    <numFmt numFmtId="169" formatCode="\$#,##0;[RED]&quot;-$&quot;#,##0"/>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Cambria"/>
      <family val="0"/>
      <charset val="1"/>
    </font>
    <font>
      <b val="true"/>
      <sz val="10"/>
      <name val="Cambria"/>
      <family val="0"/>
      <charset val="1"/>
    </font>
    <font>
      <b val="true"/>
      <sz val="11"/>
      <color rgb="FFFFFFFF"/>
      <name val="Cambria"/>
      <family val="0"/>
      <charset val="1"/>
    </font>
    <font>
      <i val="true"/>
      <sz val="8"/>
      <name val="Cambria"/>
      <family val="0"/>
      <charset val="1"/>
    </font>
    <font>
      <b val="true"/>
      <sz val="11"/>
      <name val="Cambria"/>
      <family val="0"/>
      <charset val="1"/>
    </font>
    <font>
      <i val="true"/>
      <sz val="11"/>
      <name val="Cambria"/>
      <family val="0"/>
      <charset val="1"/>
    </font>
  </fonts>
  <fills count="9">
    <fill>
      <patternFill patternType="none"/>
    </fill>
    <fill>
      <patternFill patternType="gray125"/>
    </fill>
    <fill>
      <patternFill patternType="solid">
        <fgColor rgb="FF1B2A4A"/>
        <bgColor rgb="FF003366"/>
      </patternFill>
    </fill>
    <fill>
      <patternFill patternType="solid">
        <fgColor rgb="FF4A5568"/>
        <bgColor rgb="FF333399"/>
      </patternFill>
    </fill>
    <fill>
      <patternFill patternType="solid">
        <fgColor rgb="FFF3F4F6"/>
        <bgColor rgb="FFEBF5FB"/>
      </patternFill>
    </fill>
    <fill>
      <patternFill patternType="solid">
        <fgColor rgb="FFEBF5FB"/>
        <bgColor rgb="FFF3F4F6"/>
      </patternFill>
    </fill>
    <fill>
      <patternFill patternType="solid">
        <fgColor rgb="FFEAFAF1"/>
        <bgColor rgb="FFEBF5FB"/>
      </patternFill>
    </fill>
    <fill>
      <patternFill patternType="solid">
        <fgColor rgb="FFD0E0F0"/>
        <bgColor rgb="FFD9EAD3"/>
      </patternFill>
    </fill>
    <fill>
      <patternFill patternType="solid">
        <fgColor rgb="FFD9EAD3"/>
        <bgColor rgb="FFD0E0F0"/>
      </patternFill>
    </fill>
  </fills>
  <borders count="2">
    <border diagonalUp="false" diagonalDown="false">
      <left/>
      <right/>
      <top/>
      <bottom/>
      <diagonal/>
    </border>
    <border diagonalUp="false" diagonalDown="false">
      <left/>
      <right/>
      <top/>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5" fontId="5" fillId="4"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0" fillId="5" borderId="0" xfId="0" applyFont="false" applyBorder="false" applyAlignment="true" applyProtection="false">
      <alignment horizontal="general" vertical="bottom" textRotation="0" wrapText="false" indent="0" shrinkToFit="false"/>
      <protection locked="true" hidden="false"/>
    </xf>
    <xf numFmtId="165" fontId="0" fillId="6" borderId="0" xfId="0" applyFont="false" applyBorder="false" applyAlignment="true" applyProtection="false">
      <alignment horizontal="general" vertical="bottom" textRotation="0" wrapText="false" indent="0" shrinkToFit="false"/>
      <protection locked="true" hidden="false"/>
    </xf>
    <xf numFmtId="164" fontId="5" fillId="4" borderId="0" xfId="0" applyFont="true" applyBorder="tru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5" fontId="5" fillId="4"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8" fillId="8"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FF000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8E44AD"/>
      <rgbColor rgb="FFEAFAF1"/>
      <rgbColor rgb="FFEBF5FB"/>
      <rgbColor rgb="FF660066"/>
      <rgbColor rgb="FFE74C3C"/>
      <rgbColor rgb="FF0066CC"/>
      <rgbColor rgb="FFD0E0F0"/>
      <rgbColor rgb="FF000080"/>
      <rgbColor rgb="FFFF00FF"/>
      <rgbColor rgb="FFFFFF00"/>
      <rgbColor rgb="FF00FFFF"/>
      <rgbColor rgb="FF800080"/>
      <rgbColor rgb="FF800000"/>
      <rgbColor rgb="FF008080"/>
      <rgbColor rgb="FF0000FF"/>
      <rgbColor rgb="FF00CCFF"/>
      <rgbColor rgb="FFF3F4F6"/>
      <rgbColor rgb="FFD9EAD3"/>
      <rgbColor rgb="FFFFFF99"/>
      <rgbColor rgb="FF99CCFF"/>
      <rgbColor rgb="FFFF99CC"/>
      <rgbColor rgb="FFCC99FF"/>
      <rgbColor rgb="FFFFCC99"/>
      <rgbColor rgb="FF2E86C1"/>
      <rgbColor rgb="FF33CCCC"/>
      <rgbColor rgb="FF99CC00"/>
      <rgbColor rgb="FFFFCC00"/>
      <rgbColor rgb="FFFF9900"/>
      <rgbColor rgb="FFE67E22"/>
      <rgbColor rgb="FF4A5568"/>
      <rgbColor rgb="FF95A5A6"/>
      <rgbColor rgb="FF003366"/>
      <rgbColor rgb="FF27AE60"/>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74C3C"/>
    <pageSetUpPr fitToPage="false"/>
  </sheetPr>
  <dimension ref="A1:F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5"/>
    <col collapsed="false" customWidth="true" hidden="false" outlineLevel="0" max="6" min="2" style="1" width="14"/>
  </cols>
  <sheetData>
    <row r="1" customFormat="false" ht="17.25" hidden="false" customHeight="true" outlineLevel="0" collapsed="false">
      <c r="A1" s="2" t="s">
        <v>0</v>
      </c>
      <c r="B1" s="2"/>
      <c r="C1" s="2"/>
      <c r="D1" s="2"/>
      <c r="E1" s="2"/>
      <c r="F1" s="2"/>
    </row>
    <row r="3" customFormat="false" ht="15" hidden="false" customHeight="true" outlineLevel="0" collapsed="false">
      <c r="A3" s="3" t="s">
        <v>1</v>
      </c>
      <c r="B3" s="1" t="s">
        <v>2</v>
      </c>
    </row>
    <row r="4" customFormat="false" ht="15" hidden="false" customHeight="true" outlineLevel="0" collapsed="false">
      <c r="A4" s="3" t="s">
        <v>3</v>
      </c>
      <c r="B4" s="1" t="s">
        <v>4</v>
      </c>
    </row>
    <row r="5" customFormat="false" ht="15" hidden="false" customHeight="true" outlineLevel="0" collapsed="false">
      <c r="A5" s="3" t="s">
        <v>5</v>
      </c>
      <c r="B5" s="1" t="s">
        <v>6</v>
      </c>
    </row>
    <row r="6" customFormat="false" ht="15" hidden="false" customHeight="true" outlineLevel="0" collapsed="false">
      <c r="A6" s="3" t="s">
        <v>7</v>
      </c>
      <c r="B6" s="1" t="s">
        <v>8</v>
      </c>
    </row>
    <row r="7" customFormat="false" ht="15" hidden="false" customHeight="true" outlineLevel="0" collapsed="false">
      <c r="A7" s="3" t="s">
        <v>9</v>
      </c>
      <c r="B7" s="1" t="s">
        <v>10</v>
      </c>
    </row>
    <row r="8" customFormat="false" ht="15" hidden="false" customHeight="true" outlineLevel="0" collapsed="false">
      <c r="A8" s="3" t="s">
        <v>11</v>
      </c>
      <c r="B8" s="1" t="s">
        <v>12</v>
      </c>
    </row>
    <row r="10" customFormat="false" ht="15" hidden="false" customHeight="true" outlineLevel="0" collapsed="false">
      <c r="A10" s="4" t="s">
        <v>13</v>
      </c>
      <c r="B10" s="4"/>
    </row>
    <row r="12" customFormat="false" ht="15" hidden="false" customHeight="true" outlineLevel="0" collapsed="false">
      <c r="A12" s="1" t="s">
        <v>14</v>
      </c>
      <c r="B12" s="5" t="n">
        <f aca="false">'Capital Stack'!B5</f>
        <v>1625080</v>
      </c>
    </row>
    <row r="13" customFormat="false" ht="15" hidden="false" customHeight="true" outlineLevel="0" collapsed="false">
      <c r="A13" s="1" t="s">
        <v>15</v>
      </c>
      <c r="B13" s="5" t="n">
        <f aca="false">'Capital Stack'!B7</f>
        <v>37734.84375</v>
      </c>
    </row>
    <row r="14" customFormat="false" ht="15" hidden="false" customHeight="true" outlineLevel="0" collapsed="false">
      <c r="A14" s="1" t="s">
        <v>16</v>
      </c>
      <c r="B14" s="5" t="n">
        <f aca="false">'Capital Stack'!B6</f>
        <v>53000</v>
      </c>
    </row>
    <row r="15" customFormat="false" ht="15" hidden="false" customHeight="true" outlineLevel="0" collapsed="false">
      <c r="A15" s="3" t="s">
        <v>17</v>
      </c>
      <c r="B15" s="6" t="n">
        <f aca="false">'Capital Stack'!B8</f>
        <v>1715814.84375</v>
      </c>
    </row>
    <row r="16" customFormat="false" ht="15" hidden="false" customHeight="true" outlineLevel="0" collapsed="false">
      <c r="B16" s="5"/>
    </row>
    <row r="17" customFormat="false" ht="15" hidden="false" customHeight="true" outlineLevel="0" collapsed="false">
      <c r="A17" s="1" t="s">
        <v>18</v>
      </c>
      <c r="B17" s="5" t="n">
        <f aca="false">'Capital Stack'!B10</f>
        <v>1286861.1328125</v>
      </c>
    </row>
    <row r="18" customFormat="false" ht="15" hidden="false" customHeight="true" outlineLevel="0" collapsed="false">
      <c r="A18" s="1" t="s">
        <v>19</v>
      </c>
      <c r="B18" s="5" t="n">
        <f aca="false">'Capital Stack'!B11</f>
        <v>428953.7109375</v>
      </c>
    </row>
    <row r="19" customFormat="false" ht="15" hidden="false" customHeight="true" outlineLevel="0" collapsed="false">
      <c r="A19" s="1" t="s">
        <v>20</v>
      </c>
      <c r="B19" s="5" t="n">
        <f aca="false">'Capital Stack'!B12</f>
        <v>128686.11328125</v>
      </c>
    </row>
    <row r="20" customFormat="false" ht="15" hidden="false" customHeight="true" outlineLevel="0" collapsed="false">
      <c r="A20" s="1" t="s">
        <v>21</v>
      </c>
      <c r="B20" s="5" t="n">
        <f aca="false">'Capital Stack'!B13</f>
        <v>300267.59765625</v>
      </c>
    </row>
    <row r="22" customFormat="false" ht="15" hidden="false" customHeight="true" outlineLevel="0" collapsed="false">
      <c r="A22" s="4" t="s">
        <v>22</v>
      </c>
      <c r="B22" s="4"/>
      <c r="C22" s="4"/>
      <c r="D22" s="4"/>
      <c r="E22" s="4"/>
      <c r="F22" s="4"/>
    </row>
    <row r="23" customFormat="false" ht="15" hidden="false" customHeight="true" outlineLevel="0" collapsed="false">
      <c r="B23" s="3" t="s">
        <v>23</v>
      </c>
      <c r="C23" s="3" t="s">
        <v>24</v>
      </c>
      <c r="D23" s="3" t="s">
        <v>25</v>
      </c>
      <c r="E23" s="3" t="s">
        <v>26</v>
      </c>
      <c r="F23" s="3" t="s">
        <v>27</v>
      </c>
    </row>
    <row r="24" customFormat="false" ht="15" hidden="false" customHeight="true" outlineLevel="0" collapsed="false">
      <c r="A24" s="1" t="s">
        <v>28</v>
      </c>
      <c r="B24" s="7" t="n">
        <f aca="false">'Operating Model'!B82</f>
        <v>0.7625</v>
      </c>
      <c r="C24" s="7" t="n">
        <f aca="false">'Operating Model'!C82</f>
        <v>0.9</v>
      </c>
      <c r="D24" s="7" t="n">
        <f aca="false">'Operating Model'!D82</f>
        <v>0.92</v>
      </c>
      <c r="E24" s="7" t="n">
        <f aca="false">'Operating Model'!E82</f>
        <v>0.92</v>
      </c>
      <c r="F24" s="7" t="n">
        <f aca="false">'Operating Model'!F82</f>
        <v>0.92</v>
      </c>
    </row>
    <row r="25" customFormat="false" ht="15" hidden="false" customHeight="true" outlineLevel="0" collapsed="false">
      <c r="A25" s="1" t="s">
        <v>29</v>
      </c>
      <c r="B25" s="5" t="n">
        <f aca="false">'Operating Model'!B86</f>
        <v>535993.05</v>
      </c>
      <c r="C25" s="5" t="n">
        <f aca="false">'Operating Model'!C86</f>
        <v>658245.8595</v>
      </c>
      <c r="D25" s="5" t="n">
        <f aca="false">'Operating Model'!D86</f>
        <v>692776.844958</v>
      </c>
      <c r="E25" s="5" t="n">
        <f aca="false">'Operating Model'!E86</f>
        <v>713560.15030674</v>
      </c>
      <c r="F25" s="5" t="n">
        <f aca="false">'Operating Model'!F86</f>
        <v>734966.954815942</v>
      </c>
    </row>
    <row r="26" customFormat="false" ht="15" hidden="false" customHeight="true" outlineLevel="0" collapsed="false">
      <c r="A26" s="1" t="s">
        <v>30</v>
      </c>
      <c r="B26" s="5" t="n">
        <f aca="false">'Operating Model'!B108</f>
        <v>343828.949</v>
      </c>
      <c r="C26" s="5" t="n">
        <f aca="false">'Operating Model'!C108</f>
        <v>369533.55471</v>
      </c>
      <c r="D26" s="5" t="n">
        <f aca="false">'Operating Model'!D108</f>
        <v>382000.21649244</v>
      </c>
      <c r="E26" s="5" t="n">
        <f aca="false">'Operating Model'!E108</f>
        <v>392148.070003213</v>
      </c>
      <c r="F26" s="5" t="n">
        <f aca="false">'Operating Model'!F108</f>
        <v>402567.81180533</v>
      </c>
    </row>
    <row r="27" customFormat="false" ht="15" hidden="false" customHeight="true" outlineLevel="0" collapsed="false">
      <c r="A27" s="1" t="s">
        <v>31</v>
      </c>
      <c r="B27" s="5" t="n">
        <f aca="false">'Operating Model'!B110</f>
        <v>192164.101</v>
      </c>
      <c r="C27" s="5" t="n">
        <f aca="false">'Operating Model'!C110</f>
        <v>288712.30479</v>
      </c>
      <c r="D27" s="5" t="n">
        <f aca="false">'Operating Model'!D110</f>
        <v>310776.62846556</v>
      </c>
      <c r="E27" s="5" t="n">
        <f aca="false">'Operating Model'!E110</f>
        <v>321412.080303527</v>
      </c>
      <c r="F27" s="5" t="n">
        <f aca="false">'Operating Model'!F110</f>
        <v>332399.143010613</v>
      </c>
    </row>
    <row r="28" customFormat="false" ht="15" hidden="false" customHeight="true" outlineLevel="0" collapsed="false">
      <c r="A28" s="1" t="s">
        <v>32</v>
      </c>
      <c r="B28" s="5" t="n">
        <f aca="false">'Operating Model'!B111</f>
        <v>124402.388356814</v>
      </c>
      <c r="C28" s="5" t="n">
        <f aca="false">'Operating Model'!C111</f>
        <v>124402.388356814</v>
      </c>
      <c r="D28" s="5" t="n">
        <f aca="false">'Operating Model'!D111</f>
        <v>124402.388356814</v>
      </c>
      <c r="E28" s="5" t="n">
        <f aca="false">'Operating Model'!E111</f>
        <v>124402.388356814</v>
      </c>
      <c r="F28" s="5" t="n">
        <f aca="false">'Operating Model'!F111</f>
        <v>124402.388356814</v>
      </c>
    </row>
    <row r="29" customFormat="false" ht="15" hidden="false" customHeight="true" outlineLevel="0" collapsed="false">
      <c r="A29" s="8" t="s">
        <v>33</v>
      </c>
      <c r="B29" s="9" t="n">
        <f aca="false">'Operating Model'!B112</f>
        <v>67761.7126431858</v>
      </c>
      <c r="C29" s="9" t="n">
        <f aca="false">'Operating Model'!C112</f>
        <v>164309.916433186</v>
      </c>
      <c r="D29" s="9" t="n">
        <f aca="false">'Operating Model'!D112</f>
        <v>186374.240108746</v>
      </c>
      <c r="E29" s="9" t="n">
        <f aca="false">'Operating Model'!E112</f>
        <v>197009.691946713</v>
      </c>
      <c r="F29" s="9" t="n">
        <f aca="false">'Operating Model'!F112</f>
        <v>207996.754653799</v>
      </c>
    </row>
    <row r="31" customFormat="false" ht="15" hidden="false" customHeight="true" outlineLevel="0" collapsed="false">
      <c r="A31" s="1" t="s">
        <v>34</v>
      </c>
      <c r="B31" s="7" t="n">
        <f aca="false">'Operating Model'!B117</f>
        <v>0.157969755046737</v>
      </c>
      <c r="C31" s="7" t="n">
        <f aca="false">'Operating Model'!C117</f>
        <v>0.383048129072198</v>
      </c>
      <c r="D31" s="7" t="n">
        <f aca="false">'Operating Model'!D117</f>
        <v>0.434485669097991</v>
      </c>
      <c r="E31" s="7" t="n">
        <f aca="false">'Operating Model'!E117</f>
        <v>0.459279607387329</v>
      </c>
      <c r="F31" s="7" t="n">
        <f aca="false">'Operating Model'!F117</f>
        <v>0.484893239877122</v>
      </c>
    </row>
    <row r="32" customFormat="false" ht="15" hidden="false" customHeight="true" outlineLevel="0" collapsed="false">
      <c r="A32" s="1" t="s">
        <v>35</v>
      </c>
      <c r="B32" s="10" t="n">
        <f aca="false">'Operating Model'!B116</f>
        <v>1.54469784333103</v>
      </c>
      <c r="C32" s="10" t="n">
        <f aca="false">'Operating Model'!C116</f>
        <v>2.32079390599727</v>
      </c>
      <c r="D32" s="10" t="n">
        <f aca="false">'Operating Model'!D116</f>
        <v>2.49815644675714</v>
      </c>
      <c r="E32" s="10" t="n">
        <f aca="false">'Operating Model'!E116</f>
        <v>2.58364879122453</v>
      </c>
      <c r="F32" s="10" t="n">
        <f aca="false">'Operating Model'!F116</f>
        <v>2.67196753535967</v>
      </c>
    </row>
    <row r="33" customFormat="false" ht="15" hidden="false" customHeight="true" outlineLevel="0" collapsed="false">
      <c r="A33" s="1" t="s">
        <v>36</v>
      </c>
      <c r="B33" s="7" t="n">
        <f aca="false">'Operating Model'!B115</f>
        <v>0.64148023747696</v>
      </c>
      <c r="C33" s="7" t="n">
        <f aca="false">'Operating Model'!C115</f>
        <v>0.561391384961685</v>
      </c>
      <c r="D33" s="7" t="n">
        <f aca="false">'Operating Model'!D115</f>
        <v>0.55140442304419</v>
      </c>
      <c r="E33" s="7" t="n">
        <f aca="false">'Operating Model'!E115</f>
        <v>0.549565540949336</v>
      </c>
      <c r="F33" s="7" t="n">
        <f aca="false">'Operating Model'!F115</f>
        <v>0.547735934476326</v>
      </c>
    </row>
    <row r="35" customFormat="false" ht="15" hidden="false" customHeight="true" outlineLevel="0" collapsed="false">
      <c r="A35" s="4" t="s">
        <v>37</v>
      </c>
      <c r="B35" s="4"/>
    </row>
    <row r="36" customFormat="false" ht="15" hidden="false" customHeight="true" outlineLevel="0" collapsed="false">
      <c r="A36" s="1" t="s">
        <v>38</v>
      </c>
      <c r="B36" s="1" t="s">
        <v>39</v>
      </c>
    </row>
    <row r="37" customFormat="false" ht="15" hidden="false" customHeight="true" outlineLevel="0" collapsed="false">
      <c r="A37" s="1" t="s">
        <v>40</v>
      </c>
      <c r="B37" s="5" t="n">
        <f aca="false">'Capital Stack'!B17</f>
        <v>10366.8656964012</v>
      </c>
    </row>
    <row r="38" customFormat="false" ht="15" hidden="false" customHeight="true" outlineLevel="0" collapsed="false">
      <c r="A38" s="1" t="s">
        <v>41</v>
      </c>
      <c r="B38" s="7" t="n">
        <f aca="false">('Operating Model'!B108+'Operating Model'!B111)/('Operating Model'!B86/'Operating Model'!B82)</f>
        <v>0.666102656992606</v>
      </c>
    </row>
    <row r="39" customFormat="false" ht="15" hidden="false" customHeight="true" outlineLevel="0" collapsed="false">
      <c r="A39" s="1" t="s">
        <v>42</v>
      </c>
      <c r="B39" s="5" t="n">
        <f aca="false">'Capital Stack'!B24</f>
        <v>24021.4078125</v>
      </c>
    </row>
    <row r="40" customFormat="false" ht="15" hidden="false" customHeight="true" outlineLevel="0" collapsed="false">
      <c r="A40" s="1" t="s">
        <v>43</v>
      </c>
      <c r="B40" s="11" t="n">
        <f aca="false">'Capital Stack'!B11/'Operating Model'!B112</f>
        <v>6.33032569876517</v>
      </c>
    </row>
  </sheetData>
  <mergeCells count="4">
    <mergeCell ref="A1:F1"/>
    <mergeCell ref="A10:B10"/>
    <mergeCell ref="A22:F22"/>
    <mergeCell ref="A35:B3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7E22"/>
    <pageSetUpPr fitToPage="false"/>
  </sheetPr>
  <dimension ref="A1:W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5"/>
    <col collapsed="false" customWidth="true" hidden="false" outlineLevel="0" max="22" min="2" style="1" width="12"/>
    <col collapsed="false" customWidth="true" hidden="false" outlineLevel="0" max="23" min="23" style="1" width="14"/>
  </cols>
  <sheetData>
    <row r="1" customFormat="false" ht="17.25" hidden="false" customHeight="true" outlineLevel="0" collapsed="false">
      <c r="A1" s="2" t="s">
        <v>44</v>
      </c>
      <c r="B1" s="2"/>
      <c r="C1" s="2"/>
      <c r="D1" s="2"/>
      <c r="E1" s="2"/>
      <c r="F1" s="2"/>
      <c r="G1" s="2"/>
      <c r="H1" s="2"/>
      <c r="I1" s="2"/>
      <c r="J1" s="2"/>
      <c r="K1" s="2"/>
      <c r="L1" s="2"/>
      <c r="M1" s="2"/>
      <c r="N1" s="2"/>
      <c r="O1" s="2"/>
      <c r="P1" s="2"/>
      <c r="Q1" s="2"/>
      <c r="R1" s="2"/>
      <c r="S1" s="2"/>
      <c r="T1" s="2"/>
      <c r="U1" s="2"/>
      <c r="V1" s="2"/>
      <c r="W1" s="2"/>
    </row>
    <row r="3" customFormat="false" ht="15" hidden="false" customHeight="true" outlineLevel="0" collapsed="false">
      <c r="B3" s="3" t="s">
        <v>45</v>
      </c>
      <c r="C3" s="3" t="s">
        <v>46</v>
      </c>
      <c r="D3" s="3" t="s">
        <v>47</v>
      </c>
      <c r="E3" s="3" t="s">
        <v>48</v>
      </c>
      <c r="F3" s="3" t="s">
        <v>49</v>
      </c>
      <c r="G3" s="3" t="s">
        <v>50</v>
      </c>
      <c r="H3" s="3" t="s">
        <v>51</v>
      </c>
      <c r="I3" s="3" t="s">
        <v>52</v>
      </c>
      <c r="J3" s="3" t="s">
        <v>53</v>
      </c>
      <c r="K3" s="3" t="s">
        <v>54</v>
      </c>
      <c r="L3" s="3" t="s">
        <v>55</v>
      </c>
      <c r="M3" s="3" t="s">
        <v>56</v>
      </c>
      <c r="N3" s="3" t="s">
        <v>57</v>
      </c>
      <c r="O3" s="3" t="s">
        <v>58</v>
      </c>
      <c r="P3" s="3" t="s">
        <v>59</v>
      </c>
      <c r="Q3" s="3" t="s">
        <v>60</v>
      </c>
      <c r="R3" s="3" t="s">
        <v>61</v>
      </c>
      <c r="S3" s="3" t="s">
        <v>62</v>
      </c>
      <c r="T3" s="3" t="s">
        <v>63</v>
      </c>
      <c r="U3" s="3" t="s">
        <v>64</v>
      </c>
      <c r="V3" s="3" t="s">
        <v>65</v>
      </c>
      <c r="W3" s="3" t="s">
        <v>66</v>
      </c>
    </row>
    <row r="4" customFormat="false" ht="15" hidden="false" customHeight="true" outlineLevel="0" collapsed="false">
      <c r="B4" s="12" t="s">
        <v>67</v>
      </c>
      <c r="C4" s="12" t="s">
        <v>67</v>
      </c>
      <c r="D4" s="12" t="s">
        <v>67</v>
      </c>
      <c r="E4" s="12" t="s">
        <v>67</v>
      </c>
      <c r="F4" s="12" t="s">
        <v>67</v>
      </c>
      <c r="G4" s="12" t="s">
        <v>67</v>
      </c>
      <c r="H4" s="12" t="s">
        <v>67</v>
      </c>
      <c r="I4" s="12" t="s">
        <v>67</v>
      </c>
      <c r="J4" s="12" t="s">
        <v>67</v>
      </c>
      <c r="K4" s="12" t="s">
        <v>68</v>
      </c>
      <c r="L4" s="12" t="s">
        <v>69</v>
      </c>
      <c r="M4" s="12" t="s">
        <v>70</v>
      </c>
      <c r="N4" s="12" t="s">
        <v>71</v>
      </c>
      <c r="O4" s="12" t="s">
        <v>72</v>
      </c>
      <c r="P4" s="12" t="s">
        <v>73</v>
      </c>
      <c r="Q4" s="12" t="s">
        <v>74</v>
      </c>
      <c r="R4" s="12" t="s">
        <v>75</v>
      </c>
      <c r="S4" s="12" t="s">
        <v>76</v>
      </c>
      <c r="T4" s="12" t="s">
        <v>77</v>
      </c>
      <c r="U4" s="12" t="s">
        <v>78</v>
      </c>
      <c r="V4" s="12" t="s">
        <v>79</v>
      </c>
    </row>
    <row r="6" customFormat="false" ht="15" hidden="false" customHeight="true" outlineLevel="0" collapsed="false">
      <c r="A6" s="4" t="s">
        <v>80</v>
      </c>
      <c r="B6" s="4"/>
      <c r="C6" s="4"/>
      <c r="D6" s="4"/>
      <c r="E6" s="4"/>
      <c r="F6" s="4"/>
      <c r="G6" s="4"/>
      <c r="H6" s="4"/>
      <c r="I6" s="4"/>
      <c r="J6" s="4"/>
      <c r="K6" s="4"/>
      <c r="L6" s="4"/>
      <c r="M6" s="4"/>
      <c r="N6" s="4"/>
      <c r="O6" s="4"/>
      <c r="P6" s="4"/>
      <c r="Q6" s="4"/>
      <c r="R6" s="4"/>
      <c r="S6" s="4"/>
      <c r="T6" s="4"/>
      <c r="U6" s="4"/>
      <c r="V6" s="4"/>
      <c r="W6" s="4"/>
    </row>
    <row r="7" customFormat="false" ht="15" hidden="false" customHeight="true" outlineLevel="0" collapsed="false">
      <c r="A7" s="1" t="s">
        <v>81</v>
      </c>
      <c r="B7" s="13" t="n">
        <f aca="false">'Renovation Budget'!E9*0.1</f>
        <v>61600</v>
      </c>
      <c r="C7" s="13" t="n">
        <f aca="false">'Renovation Budget'!E9*0.1</f>
        <v>61600</v>
      </c>
      <c r="D7" s="13" t="n">
        <f aca="false">'Renovation Budget'!E9*0.15</f>
        <v>92400</v>
      </c>
      <c r="E7" s="13" t="n">
        <f aca="false">'Renovation Budget'!E9*0.15</f>
        <v>92400</v>
      </c>
      <c r="F7" s="13" t="n">
        <f aca="false">'Renovation Budget'!E9*0.15</f>
        <v>92400</v>
      </c>
      <c r="G7" s="13" t="n">
        <f aca="false">'Renovation Budget'!E9*0.15</f>
        <v>92400</v>
      </c>
      <c r="H7" s="13" t="n">
        <f aca="false">'Renovation Budget'!E9*0.1</f>
        <v>61600</v>
      </c>
      <c r="I7" s="13" t="n">
        <f aca="false">'Renovation Budget'!E9*0.1</f>
        <v>61600</v>
      </c>
      <c r="J7" s="13" t="n">
        <v>0</v>
      </c>
      <c r="K7" s="14" t="n">
        <v>0</v>
      </c>
      <c r="L7" s="14" t="n">
        <v>0</v>
      </c>
      <c r="M7" s="14" t="n">
        <v>0</v>
      </c>
      <c r="N7" s="14" t="n">
        <v>0</v>
      </c>
      <c r="O7" s="14" t="n">
        <v>0</v>
      </c>
      <c r="P7" s="14" t="n">
        <v>0</v>
      </c>
      <c r="Q7" s="14" t="n">
        <v>0</v>
      </c>
      <c r="R7" s="14" t="n">
        <v>0</v>
      </c>
      <c r="S7" s="14" t="n">
        <v>0</v>
      </c>
      <c r="T7" s="14" t="n">
        <v>0</v>
      </c>
      <c r="U7" s="14" t="n">
        <v>0</v>
      </c>
      <c r="V7" s="14" t="n">
        <v>0</v>
      </c>
      <c r="W7" s="5" t="n">
        <f aca="false">SUM(B7:V7)</f>
        <v>616000</v>
      </c>
    </row>
    <row r="8" customFormat="false" ht="15" hidden="false" customHeight="true" outlineLevel="0" collapsed="false">
      <c r="A8" s="1" t="s">
        <v>82</v>
      </c>
      <c r="B8" s="13" t="n">
        <f aca="false">'Renovation Budget'!E17*0.05</f>
        <v>15750</v>
      </c>
      <c r="C8" s="13" t="n">
        <f aca="false">'Renovation Budget'!E17*0.05</f>
        <v>15750</v>
      </c>
      <c r="D8" s="13" t="n">
        <f aca="false">'Renovation Budget'!E17*0.1</f>
        <v>31500</v>
      </c>
      <c r="E8" s="13" t="n">
        <f aca="false">'Renovation Budget'!E17*0.1</f>
        <v>31500</v>
      </c>
      <c r="F8" s="13" t="n">
        <f aca="false">'Renovation Budget'!E17*0.1</f>
        <v>31500</v>
      </c>
      <c r="G8" s="13" t="n">
        <f aca="false">'Renovation Budget'!E17*0.2</f>
        <v>63000</v>
      </c>
      <c r="H8" s="13" t="n">
        <f aca="false">'Renovation Budget'!E17*0.2</f>
        <v>63000</v>
      </c>
      <c r="I8" s="13" t="n">
        <f aca="false">'Renovation Budget'!E17*0.15</f>
        <v>47250</v>
      </c>
      <c r="J8" s="13" t="n">
        <f aca="false">'Renovation Budget'!E17*0.05</f>
        <v>15750</v>
      </c>
      <c r="K8" s="14" t="n">
        <v>0</v>
      </c>
      <c r="L8" s="14" t="n">
        <v>0</v>
      </c>
      <c r="M8" s="14" t="n">
        <v>0</v>
      </c>
      <c r="N8" s="14" t="n">
        <v>0</v>
      </c>
      <c r="O8" s="14" t="n">
        <v>0</v>
      </c>
      <c r="P8" s="14" t="n">
        <v>0</v>
      </c>
      <c r="Q8" s="14" t="n">
        <v>0</v>
      </c>
      <c r="R8" s="14" t="n">
        <v>0</v>
      </c>
      <c r="S8" s="14" t="n">
        <v>0</v>
      </c>
      <c r="T8" s="14" t="n">
        <v>0</v>
      </c>
      <c r="U8" s="14" t="n">
        <v>0</v>
      </c>
      <c r="V8" s="14" t="n">
        <v>0</v>
      </c>
      <c r="W8" s="5" t="n">
        <f aca="false">SUM(B8:V8)</f>
        <v>315000</v>
      </c>
    </row>
    <row r="9" customFormat="false" ht="15" hidden="false" customHeight="true" outlineLevel="0" collapsed="false">
      <c r="A9" s="1" t="s">
        <v>83</v>
      </c>
      <c r="B9" s="13" t="n">
        <f aca="false">'Renovation Budget'!E26*0.2</f>
        <v>64000</v>
      </c>
      <c r="C9" s="13" t="n">
        <f aca="false">'Renovation Budget'!E26*0.2</f>
        <v>64000</v>
      </c>
      <c r="D9" s="13" t="n">
        <f aca="false">'Renovation Budget'!E26*0.15</f>
        <v>48000</v>
      </c>
      <c r="E9" s="13" t="n">
        <f aca="false">'Renovation Budget'!E26*0.15</f>
        <v>48000</v>
      </c>
      <c r="F9" s="13" t="n">
        <f aca="false">'Renovation Budget'!E26*0.1</f>
        <v>32000</v>
      </c>
      <c r="G9" s="13" t="n">
        <f aca="false">'Renovation Budget'!E26*0.1</f>
        <v>32000</v>
      </c>
      <c r="H9" s="13" t="n">
        <f aca="false">'Renovation Budget'!E26*0.1</f>
        <v>32000</v>
      </c>
      <c r="I9" s="13" t="n">
        <v>0</v>
      </c>
      <c r="J9" s="13" t="n">
        <v>0</v>
      </c>
      <c r="K9" s="14" t="n">
        <v>0</v>
      </c>
      <c r="L9" s="14" t="n">
        <v>0</v>
      </c>
      <c r="M9" s="14" t="n">
        <v>0</v>
      </c>
      <c r="N9" s="14" t="n">
        <v>0</v>
      </c>
      <c r="O9" s="14" t="n">
        <v>0</v>
      </c>
      <c r="P9" s="14" t="n">
        <v>0</v>
      </c>
      <c r="Q9" s="14" t="n">
        <v>0</v>
      </c>
      <c r="R9" s="14" t="n">
        <v>0</v>
      </c>
      <c r="S9" s="14" t="n">
        <v>0</v>
      </c>
      <c r="T9" s="14" t="n">
        <v>0</v>
      </c>
      <c r="U9" s="14" t="n">
        <v>0</v>
      </c>
      <c r="V9" s="14" t="n">
        <v>0</v>
      </c>
      <c r="W9" s="5" t="n">
        <f aca="false">SUM(B9:V9)</f>
        <v>320000</v>
      </c>
    </row>
    <row r="10" customFormat="false" ht="15" hidden="false" customHeight="true" outlineLevel="0" collapsed="false">
      <c r="A10" s="1" t="s">
        <v>84</v>
      </c>
      <c r="B10" s="13" t="n">
        <v>0</v>
      </c>
      <c r="C10" s="13" t="n">
        <v>0</v>
      </c>
      <c r="D10" s="13" t="n">
        <v>0</v>
      </c>
      <c r="E10" s="13" t="n">
        <v>0</v>
      </c>
      <c r="F10" s="13" t="n">
        <v>0</v>
      </c>
      <c r="G10" s="13" t="n">
        <f aca="false">'Renovation Budget'!E33*0.2</f>
        <v>21000</v>
      </c>
      <c r="H10" s="13" t="n">
        <f aca="false">'Renovation Budget'!E33*0.2</f>
        <v>21000</v>
      </c>
      <c r="I10" s="13" t="n">
        <f aca="false">'Renovation Budget'!E33*0.3</f>
        <v>31500</v>
      </c>
      <c r="J10" s="13" t="n">
        <f aca="false">'Renovation Budget'!E33*0.3</f>
        <v>31500</v>
      </c>
      <c r="K10" s="14" t="n">
        <v>0</v>
      </c>
      <c r="L10" s="14" t="n">
        <v>0</v>
      </c>
      <c r="M10" s="14" t="n">
        <v>0</v>
      </c>
      <c r="N10" s="14" t="n">
        <v>0</v>
      </c>
      <c r="O10" s="14" t="n">
        <v>0</v>
      </c>
      <c r="P10" s="14" t="n">
        <v>0</v>
      </c>
      <c r="Q10" s="14" t="n">
        <v>0</v>
      </c>
      <c r="R10" s="14" t="n">
        <v>0</v>
      </c>
      <c r="S10" s="14" t="n">
        <v>0</v>
      </c>
      <c r="T10" s="14" t="n">
        <v>0</v>
      </c>
      <c r="U10" s="14" t="n">
        <v>0</v>
      </c>
      <c r="V10" s="14" t="n">
        <v>0</v>
      </c>
      <c r="W10" s="5" t="n">
        <f aca="false">SUM(B10:V10)</f>
        <v>105000</v>
      </c>
    </row>
    <row r="11" customFormat="false" ht="15" hidden="false" customHeight="true" outlineLevel="0" collapsed="false">
      <c r="A11" s="1" t="s">
        <v>85</v>
      </c>
      <c r="B11" s="13" t="n">
        <f aca="false">'Renovation Budget'!E41/9</f>
        <v>14831.1111111111</v>
      </c>
      <c r="C11" s="13" t="n">
        <f aca="false">'Renovation Budget'!E41/9</f>
        <v>14831.1111111111</v>
      </c>
      <c r="D11" s="13" t="n">
        <f aca="false">'Renovation Budget'!E41/9</f>
        <v>14831.1111111111</v>
      </c>
      <c r="E11" s="13" t="n">
        <f aca="false">'Renovation Budget'!E41/9</f>
        <v>14831.1111111111</v>
      </c>
      <c r="F11" s="13" t="n">
        <f aca="false">'Renovation Budget'!E41/9</f>
        <v>14831.1111111111</v>
      </c>
      <c r="G11" s="13" t="n">
        <f aca="false">'Renovation Budget'!E41/9</f>
        <v>14831.1111111111</v>
      </c>
      <c r="H11" s="13" t="n">
        <f aca="false">'Renovation Budget'!E41/9</f>
        <v>14831.1111111111</v>
      </c>
      <c r="I11" s="13" t="n">
        <f aca="false">'Renovation Budget'!E41/9</f>
        <v>14831.1111111111</v>
      </c>
      <c r="J11" s="13" t="n">
        <f aca="false">'Renovation Budget'!E41/9</f>
        <v>14831.1111111111</v>
      </c>
      <c r="K11" s="14" t="n">
        <v>0</v>
      </c>
      <c r="L11" s="14" t="n">
        <v>0</v>
      </c>
      <c r="M11" s="14" t="n">
        <v>0</v>
      </c>
      <c r="N11" s="14" t="n">
        <v>0</v>
      </c>
      <c r="O11" s="14" t="n">
        <v>0</v>
      </c>
      <c r="P11" s="14" t="n">
        <v>0</v>
      </c>
      <c r="Q11" s="14" t="n">
        <v>0</v>
      </c>
      <c r="R11" s="14" t="n">
        <v>0</v>
      </c>
      <c r="S11" s="14" t="n">
        <v>0</v>
      </c>
      <c r="T11" s="14" t="n">
        <v>0</v>
      </c>
      <c r="U11" s="14" t="n">
        <v>0</v>
      </c>
      <c r="V11" s="14" t="n">
        <v>0</v>
      </c>
      <c r="W11" s="5" t="n">
        <f aca="false">SUM(B11:V11)</f>
        <v>133480</v>
      </c>
    </row>
    <row r="12" customFormat="false" ht="15" hidden="false" customHeight="true" outlineLevel="0" collapsed="false">
      <c r="A12" s="1" t="s">
        <v>86</v>
      </c>
      <c r="B12" s="13" t="n">
        <v>0</v>
      </c>
      <c r="C12" s="13" t="n">
        <v>0</v>
      </c>
      <c r="D12" s="13" t="n">
        <v>0</v>
      </c>
      <c r="E12" s="13" t="n">
        <v>0</v>
      </c>
      <c r="F12" s="13" t="n">
        <v>0</v>
      </c>
      <c r="G12" s="13" t="n">
        <v>0</v>
      </c>
      <c r="H12" s="13" t="n">
        <f aca="false">'Renovation Budget'!E43*0.3</f>
        <v>40680</v>
      </c>
      <c r="I12" s="13" t="n">
        <f aca="false">'Renovation Budget'!E43*0.4</f>
        <v>54240</v>
      </c>
      <c r="J12" s="13" t="n">
        <f aca="false">'Renovation Budget'!E43*0.3</f>
        <v>40680</v>
      </c>
      <c r="K12" s="14" t="n">
        <v>0</v>
      </c>
      <c r="L12" s="14" t="n">
        <v>0</v>
      </c>
      <c r="M12" s="14" t="n">
        <v>0</v>
      </c>
      <c r="N12" s="14" t="n">
        <v>0</v>
      </c>
      <c r="O12" s="14" t="n">
        <v>0</v>
      </c>
      <c r="P12" s="14" t="n">
        <v>0</v>
      </c>
      <c r="Q12" s="14" t="n">
        <v>0</v>
      </c>
      <c r="R12" s="14" t="n">
        <v>0</v>
      </c>
      <c r="S12" s="14" t="n">
        <v>0</v>
      </c>
      <c r="T12" s="14" t="n">
        <v>0</v>
      </c>
      <c r="U12" s="14" t="n">
        <v>0</v>
      </c>
      <c r="V12" s="14" t="n">
        <v>0</v>
      </c>
      <c r="W12" s="5" t="n">
        <f aca="false">SUM(B12:V12)</f>
        <v>135600</v>
      </c>
    </row>
    <row r="13" customFormat="false" ht="15" hidden="false" customHeight="true" outlineLevel="0" collapsed="false">
      <c r="A13" s="8" t="s">
        <v>87</v>
      </c>
      <c r="B13" s="9" t="n">
        <f aca="false">SUM(B7:B12)</f>
        <v>156181.111111111</v>
      </c>
      <c r="C13" s="9" t="n">
        <f aca="false">SUM(C7:C12)</f>
        <v>156181.111111111</v>
      </c>
      <c r="D13" s="9" t="n">
        <f aca="false">SUM(D7:D12)</f>
        <v>186731.111111111</v>
      </c>
      <c r="E13" s="9" t="n">
        <f aca="false">SUM(E7:E12)</f>
        <v>186731.111111111</v>
      </c>
      <c r="F13" s="9" t="n">
        <f aca="false">SUM(F7:F12)</f>
        <v>170731.111111111</v>
      </c>
      <c r="G13" s="9" t="n">
        <f aca="false">SUM(G7:G12)</f>
        <v>223231.111111111</v>
      </c>
      <c r="H13" s="9" t="n">
        <f aca="false">SUM(H7:H12)</f>
        <v>233111.111111111</v>
      </c>
      <c r="I13" s="9" t="n">
        <f aca="false">SUM(I7:I12)</f>
        <v>209421.111111111</v>
      </c>
      <c r="J13" s="9" t="n">
        <f aca="false">SUM(J7:J12)</f>
        <v>102761.111111111</v>
      </c>
      <c r="K13" s="9" t="n">
        <f aca="false">SUM(K7:K12)</f>
        <v>0</v>
      </c>
      <c r="L13" s="9" t="n">
        <f aca="false">SUM(L7:L12)</f>
        <v>0</v>
      </c>
      <c r="M13" s="9" t="n">
        <f aca="false">SUM(M7:M12)</f>
        <v>0</v>
      </c>
      <c r="N13" s="9" t="n">
        <f aca="false">SUM(N7:N12)</f>
        <v>0</v>
      </c>
      <c r="O13" s="9" t="n">
        <f aca="false">SUM(O7:O12)</f>
        <v>0</v>
      </c>
      <c r="P13" s="9" t="n">
        <f aca="false">SUM(P7:P12)</f>
        <v>0</v>
      </c>
      <c r="Q13" s="9" t="n">
        <f aca="false">SUM(Q7:Q12)</f>
        <v>0</v>
      </c>
      <c r="R13" s="9" t="n">
        <f aca="false">SUM(R7:R12)</f>
        <v>0</v>
      </c>
      <c r="S13" s="9" t="n">
        <f aca="false">SUM(S7:S12)</f>
        <v>0</v>
      </c>
      <c r="T13" s="9" t="n">
        <f aca="false">SUM(T7:T12)</f>
        <v>0</v>
      </c>
      <c r="U13" s="9" t="n">
        <f aca="false">SUM(U7:U12)</f>
        <v>0</v>
      </c>
      <c r="V13" s="9" t="n">
        <f aca="false">SUM(V7:V12)</f>
        <v>0</v>
      </c>
      <c r="W13" s="9" t="n">
        <f aca="false">SUM(B13:V13)</f>
        <v>1625080</v>
      </c>
    </row>
    <row r="14" customFormat="false" ht="15" hidden="false" customHeight="true" outlineLevel="0" collapsed="false">
      <c r="A14" s="8" t="s">
        <v>88</v>
      </c>
      <c r="B14" s="9" t="n">
        <f aca="false">B13</f>
        <v>156181.111111111</v>
      </c>
      <c r="C14" s="9" t="n">
        <f aca="false">B14+C13</f>
        <v>312362.222222222</v>
      </c>
      <c r="D14" s="9" t="n">
        <f aca="false">C14+D13</f>
        <v>499093.333333333</v>
      </c>
      <c r="E14" s="9" t="n">
        <f aca="false">D14+E13</f>
        <v>685824.444444445</v>
      </c>
      <c r="F14" s="9" t="n">
        <f aca="false">E14+F13</f>
        <v>856555.555555556</v>
      </c>
      <c r="G14" s="9" t="n">
        <f aca="false">F14+G13</f>
        <v>1079786.66666667</v>
      </c>
      <c r="H14" s="9" t="n">
        <f aca="false">G14+H13</f>
        <v>1312897.77777778</v>
      </c>
      <c r="I14" s="9" t="n">
        <f aca="false">H14+I13</f>
        <v>1522318.88888889</v>
      </c>
      <c r="J14" s="9" t="n">
        <f aca="false">I14+J13</f>
        <v>1625080</v>
      </c>
      <c r="K14" s="9" t="n">
        <f aca="false">J14+K13</f>
        <v>1625080</v>
      </c>
      <c r="L14" s="9" t="n">
        <f aca="false">K14+L13</f>
        <v>1625080</v>
      </c>
      <c r="M14" s="9" t="n">
        <f aca="false">L14+M13</f>
        <v>1625080</v>
      </c>
      <c r="N14" s="9" t="n">
        <f aca="false">M14+N13</f>
        <v>1625080</v>
      </c>
      <c r="O14" s="9" t="n">
        <f aca="false">N14+O13</f>
        <v>1625080</v>
      </c>
      <c r="P14" s="9" t="n">
        <f aca="false">O14+P13</f>
        <v>1625080</v>
      </c>
      <c r="Q14" s="9" t="n">
        <f aca="false">P14+Q13</f>
        <v>1625080</v>
      </c>
      <c r="R14" s="9" t="n">
        <f aca="false">Q14+R13</f>
        <v>1625080</v>
      </c>
      <c r="S14" s="9" t="n">
        <f aca="false">R14+S13</f>
        <v>1625080</v>
      </c>
      <c r="T14" s="9" t="n">
        <f aca="false">S14+T13</f>
        <v>1625080</v>
      </c>
      <c r="U14" s="9" t="n">
        <f aca="false">T14+U13</f>
        <v>1625080</v>
      </c>
      <c r="V14" s="9" t="n">
        <f aca="false">U14+V13</f>
        <v>1625080</v>
      </c>
      <c r="W14" s="9" t="n">
        <f aca="false">V14</f>
        <v>1625080</v>
      </c>
    </row>
    <row r="16" customFormat="false" ht="15" hidden="false" customHeight="true" outlineLevel="0" collapsed="false">
      <c r="A16" s="15" t="s">
        <v>89</v>
      </c>
      <c r="B16" s="15"/>
      <c r="C16" s="15"/>
      <c r="D16" s="15"/>
      <c r="E16" s="15"/>
      <c r="F16" s="15"/>
      <c r="G16" s="15"/>
      <c r="H16" s="15"/>
      <c r="I16" s="15"/>
      <c r="J16" s="15"/>
      <c r="K16" s="15"/>
      <c r="L16" s="15"/>
      <c r="M16" s="15"/>
      <c r="N16" s="15"/>
      <c r="O16" s="15"/>
      <c r="P16" s="15"/>
      <c r="Q16" s="15"/>
      <c r="R16" s="15"/>
      <c r="S16" s="15"/>
      <c r="T16" s="15"/>
      <c r="U16" s="15"/>
      <c r="V16" s="15"/>
      <c r="W16" s="15"/>
    </row>
    <row r="17" customFormat="false" ht="15" hidden="false" customHeight="true" outlineLevel="0" collapsed="false">
      <c r="A17" s="1" t="s">
        <v>90</v>
      </c>
      <c r="B17" s="13" t="n">
        <f aca="false">B14*'Operating Model'!B66</f>
        <v>117135.833333333</v>
      </c>
      <c r="C17" s="13" t="n">
        <f aca="false">C14*'Operating Model'!B66</f>
        <v>234271.666666667</v>
      </c>
      <c r="D17" s="13" t="n">
        <f aca="false">D14*'Operating Model'!B66</f>
        <v>374320</v>
      </c>
      <c r="E17" s="13" t="n">
        <f aca="false">E14*'Operating Model'!B66</f>
        <v>514368.333333333</v>
      </c>
      <c r="F17" s="13" t="n">
        <f aca="false">F14*'Operating Model'!B66</f>
        <v>642416.666666667</v>
      </c>
      <c r="G17" s="13" t="n">
        <f aca="false">G14*'Operating Model'!B66</f>
        <v>809840</v>
      </c>
      <c r="H17" s="13" t="n">
        <f aca="false">H14*'Operating Model'!B66</f>
        <v>984673.333333334</v>
      </c>
      <c r="I17" s="13" t="n">
        <f aca="false">I14*'Operating Model'!B66</f>
        <v>1141739.16666667</v>
      </c>
      <c r="J17" s="13" t="n">
        <f aca="false">J14*'Operating Model'!B66</f>
        <v>1218810</v>
      </c>
      <c r="K17" s="14" t="n">
        <v>0</v>
      </c>
      <c r="L17" s="14" t="n">
        <v>0</v>
      </c>
      <c r="M17" s="14" t="n">
        <v>0</v>
      </c>
      <c r="N17" s="14" t="n">
        <v>0</v>
      </c>
      <c r="O17" s="14" t="n">
        <v>0</v>
      </c>
      <c r="P17" s="14" t="n">
        <v>0</v>
      </c>
      <c r="Q17" s="14" t="n">
        <v>0</v>
      </c>
      <c r="R17" s="14" t="n">
        <v>0</v>
      </c>
      <c r="S17" s="14" t="n">
        <v>0</v>
      </c>
      <c r="T17" s="14" t="n">
        <v>0</v>
      </c>
      <c r="U17" s="14" t="n">
        <v>0</v>
      </c>
      <c r="V17" s="14" t="n">
        <v>0</v>
      </c>
      <c r="W17" s="5" t="n">
        <f aca="false">J17</f>
        <v>1218810</v>
      </c>
    </row>
    <row r="18" customFormat="false" ht="15" hidden="false" customHeight="true" outlineLevel="0" collapsed="false">
      <c r="A18" s="1" t="s">
        <v>91</v>
      </c>
      <c r="B18" s="13" t="n">
        <f aca="false">B17*'Operating Model'!B63/12</f>
        <v>732.098958333333</v>
      </c>
      <c r="C18" s="13" t="n">
        <f aca="false">C17*'Operating Model'!B63/12</f>
        <v>1464.19791666667</v>
      </c>
      <c r="D18" s="13" t="n">
        <f aca="false">D17*'Operating Model'!B63/12</f>
        <v>2339.5</v>
      </c>
      <c r="E18" s="13" t="n">
        <f aca="false">E17*'Operating Model'!B63/12</f>
        <v>3214.80208333333</v>
      </c>
      <c r="F18" s="13" t="n">
        <f aca="false">F17*'Operating Model'!B63/12</f>
        <v>4015.10416666667</v>
      </c>
      <c r="G18" s="13" t="n">
        <f aca="false">G17*'Operating Model'!B63/12</f>
        <v>5061.5</v>
      </c>
      <c r="H18" s="13" t="n">
        <f aca="false">H17*'Operating Model'!B63/12</f>
        <v>6154.20833333334</v>
      </c>
      <c r="I18" s="13" t="n">
        <f aca="false">I17*'Operating Model'!B63/12</f>
        <v>7135.86979166667</v>
      </c>
      <c r="J18" s="13" t="n">
        <f aca="false">J17*'Operating Model'!B63/12</f>
        <v>7617.5625</v>
      </c>
      <c r="K18" s="14" t="n">
        <v>0</v>
      </c>
      <c r="L18" s="14" t="n">
        <v>0</v>
      </c>
      <c r="M18" s="14" t="n">
        <v>0</v>
      </c>
      <c r="N18" s="14" t="n">
        <v>0</v>
      </c>
      <c r="O18" s="14" t="n">
        <v>0</v>
      </c>
      <c r="P18" s="14" t="n">
        <v>0</v>
      </c>
      <c r="Q18" s="14" t="n">
        <v>0</v>
      </c>
      <c r="R18" s="14" t="n">
        <v>0</v>
      </c>
      <c r="S18" s="14" t="n">
        <v>0</v>
      </c>
      <c r="T18" s="14" t="n">
        <v>0</v>
      </c>
      <c r="U18" s="14" t="n">
        <v>0</v>
      </c>
      <c r="V18" s="14" t="n">
        <v>0</v>
      </c>
      <c r="W18" s="5" t="n">
        <f aca="false">SUM(B18:V18)</f>
        <v>37734.84375</v>
      </c>
    </row>
    <row r="19" customFormat="false" ht="15" hidden="false" customHeight="true" outlineLevel="0" collapsed="false">
      <c r="A19" s="8" t="s">
        <v>92</v>
      </c>
      <c r="B19" s="9" t="n">
        <f aca="false">B18</f>
        <v>732.098958333333</v>
      </c>
      <c r="C19" s="9" t="n">
        <f aca="false">B19+C18</f>
        <v>2196.296875</v>
      </c>
      <c r="D19" s="9" t="n">
        <f aca="false">C19+D18</f>
        <v>4535.796875</v>
      </c>
      <c r="E19" s="9" t="n">
        <f aca="false">D19+E18</f>
        <v>7750.59895833333</v>
      </c>
      <c r="F19" s="9" t="n">
        <f aca="false">E19+F18</f>
        <v>11765.703125</v>
      </c>
      <c r="G19" s="9" t="n">
        <f aca="false">F19+G18</f>
        <v>16827.203125</v>
      </c>
      <c r="H19" s="9" t="n">
        <f aca="false">G19+H18</f>
        <v>22981.4114583333</v>
      </c>
      <c r="I19" s="9" t="n">
        <f aca="false">H19+I18</f>
        <v>30117.28125</v>
      </c>
      <c r="J19" s="9" t="n">
        <f aca="false">I19+J18</f>
        <v>37734.84375</v>
      </c>
      <c r="K19" s="9" t="n">
        <v>0</v>
      </c>
      <c r="L19" s="9" t="n">
        <v>0</v>
      </c>
      <c r="M19" s="9" t="n">
        <v>0</v>
      </c>
      <c r="N19" s="9" t="n">
        <v>0</v>
      </c>
      <c r="O19" s="9" t="n">
        <v>0</v>
      </c>
      <c r="P19" s="9" t="n">
        <v>0</v>
      </c>
      <c r="Q19" s="9" t="n">
        <v>0</v>
      </c>
      <c r="R19" s="9" t="n">
        <v>0</v>
      </c>
      <c r="S19" s="9" t="n">
        <v>0</v>
      </c>
      <c r="T19" s="9" t="n">
        <v>0</v>
      </c>
      <c r="U19" s="9" t="n">
        <v>0</v>
      </c>
      <c r="V19" s="9" t="n">
        <v>0</v>
      </c>
      <c r="W19" s="9" t="n">
        <f aca="false">J19</f>
        <v>37734.84375</v>
      </c>
    </row>
    <row r="21" customFormat="false" ht="15" hidden="false" customHeight="true" outlineLevel="0" collapsed="false">
      <c r="A21" s="4" t="s">
        <v>93</v>
      </c>
      <c r="B21" s="4"/>
      <c r="C21" s="4"/>
      <c r="D21" s="4"/>
      <c r="E21" s="4"/>
      <c r="F21" s="4"/>
      <c r="G21" s="4"/>
      <c r="H21" s="4"/>
      <c r="I21" s="4"/>
      <c r="J21" s="4"/>
      <c r="K21" s="4"/>
      <c r="L21" s="4"/>
      <c r="M21" s="4"/>
      <c r="N21" s="4"/>
      <c r="O21" s="4"/>
      <c r="P21" s="4"/>
      <c r="Q21" s="4"/>
      <c r="R21" s="4"/>
      <c r="S21" s="4"/>
      <c r="T21" s="4"/>
      <c r="U21" s="4"/>
      <c r="V21" s="4"/>
      <c r="W21" s="4"/>
    </row>
    <row r="22" customFormat="false" ht="15" hidden="false" customHeight="true" outlineLevel="0" collapsed="false">
      <c r="A22" s="1" t="s">
        <v>94</v>
      </c>
      <c r="B22" s="13" t="n">
        <v>0</v>
      </c>
      <c r="C22" s="13" t="n">
        <v>0</v>
      </c>
      <c r="D22" s="13" t="n">
        <v>0</v>
      </c>
      <c r="E22" s="13" t="n">
        <v>0</v>
      </c>
      <c r="F22" s="13" t="n">
        <v>0</v>
      </c>
      <c r="G22" s="13" t="n">
        <v>0</v>
      </c>
      <c r="H22" s="13" t="n">
        <v>0</v>
      </c>
      <c r="I22" s="13" t="n">
        <v>3200</v>
      </c>
      <c r="J22" s="13" t="n">
        <v>6400</v>
      </c>
      <c r="K22" s="14" t="n">
        <v>6400</v>
      </c>
      <c r="L22" s="14" t="n">
        <v>0</v>
      </c>
      <c r="M22" s="14" t="n">
        <v>0</v>
      </c>
      <c r="N22" s="14" t="n">
        <v>0</v>
      </c>
      <c r="O22" s="14" t="n">
        <v>0</v>
      </c>
      <c r="P22" s="14" t="n">
        <v>0</v>
      </c>
      <c r="Q22" s="14" t="n">
        <v>0</v>
      </c>
      <c r="R22" s="14" t="n">
        <v>0</v>
      </c>
      <c r="S22" s="14" t="n">
        <v>0</v>
      </c>
      <c r="T22" s="14" t="n">
        <v>0</v>
      </c>
      <c r="U22" s="14" t="n">
        <v>0</v>
      </c>
      <c r="V22" s="14" t="n">
        <v>0</v>
      </c>
      <c r="W22" s="5" t="n">
        <f aca="false">SUM(B22:V22)</f>
        <v>16000</v>
      </c>
    </row>
    <row r="23" customFormat="false" ht="15" hidden="false" customHeight="true" outlineLevel="0" collapsed="false">
      <c r="A23" s="1" t="s">
        <v>95</v>
      </c>
      <c r="B23" s="13" t="n">
        <v>0</v>
      </c>
      <c r="C23" s="13" t="n">
        <v>0</v>
      </c>
      <c r="D23" s="13" t="n">
        <v>0</v>
      </c>
      <c r="E23" s="13" t="n">
        <v>0</v>
      </c>
      <c r="F23" s="13" t="n">
        <v>0</v>
      </c>
      <c r="G23" s="13" t="n">
        <v>0</v>
      </c>
      <c r="H23" s="13" t="n">
        <v>2000</v>
      </c>
      <c r="I23" s="13" t="n">
        <v>3000</v>
      </c>
      <c r="J23" s="13" t="n">
        <v>2500</v>
      </c>
      <c r="K23" s="14" t="n">
        <v>2500</v>
      </c>
      <c r="L23" s="14" t="n">
        <v>0</v>
      </c>
      <c r="M23" s="14" t="n">
        <v>0</v>
      </c>
      <c r="N23" s="14" t="n">
        <v>0</v>
      </c>
      <c r="O23" s="14" t="n">
        <v>0</v>
      </c>
      <c r="P23" s="14" t="n">
        <v>0</v>
      </c>
      <c r="Q23" s="14" t="n">
        <v>0</v>
      </c>
      <c r="R23" s="14" t="n">
        <v>0</v>
      </c>
      <c r="S23" s="14" t="n">
        <v>0</v>
      </c>
      <c r="T23" s="14" t="n">
        <v>0</v>
      </c>
      <c r="U23" s="14" t="n">
        <v>0</v>
      </c>
      <c r="V23" s="14" t="n">
        <v>0</v>
      </c>
      <c r="W23" s="5" t="n">
        <f aca="false">SUM(B23:V23)</f>
        <v>10000</v>
      </c>
    </row>
    <row r="24" customFormat="false" ht="15" hidden="false" customHeight="true" outlineLevel="0" collapsed="false">
      <c r="A24" s="1" t="s">
        <v>96</v>
      </c>
      <c r="B24" s="13" t="n">
        <v>0</v>
      </c>
      <c r="C24" s="13" t="n">
        <v>0</v>
      </c>
      <c r="D24" s="13" t="n">
        <v>0</v>
      </c>
      <c r="E24" s="13" t="n">
        <v>0</v>
      </c>
      <c r="F24" s="13" t="n">
        <v>0</v>
      </c>
      <c r="G24" s="13" t="n">
        <v>0</v>
      </c>
      <c r="H24" s="13" t="n">
        <v>0</v>
      </c>
      <c r="I24" s="13" t="n">
        <v>0</v>
      </c>
      <c r="J24" s="13" t="n">
        <v>3000</v>
      </c>
      <c r="K24" s="14" t="n">
        <v>2000</v>
      </c>
      <c r="L24" s="14" t="n">
        <v>0</v>
      </c>
      <c r="M24" s="14" t="n">
        <v>0</v>
      </c>
      <c r="N24" s="14" t="n">
        <v>0</v>
      </c>
      <c r="O24" s="14" t="n">
        <v>0</v>
      </c>
      <c r="P24" s="14" t="n">
        <v>0</v>
      </c>
      <c r="Q24" s="14" t="n">
        <v>0</v>
      </c>
      <c r="R24" s="14" t="n">
        <v>0</v>
      </c>
      <c r="S24" s="14" t="n">
        <v>0</v>
      </c>
      <c r="T24" s="14" t="n">
        <v>0</v>
      </c>
      <c r="U24" s="14" t="n">
        <v>0</v>
      </c>
      <c r="V24" s="14" t="n">
        <v>0</v>
      </c>
      <c r="W24" s="5" t="n">
        <f aca="false">SUM(B24:V24)</f>
        <v>5000</v>
      </c>
    </row>
    <row r="25" customFormat="false" ht="15" hidden="false" customHeight="true" outlineLevel="0" collapsed="false">
      <c r="A25" s="1" t="s">
        <v>97</v>
      </c>
      <c r="B25" s="13" t="n">
        <v>0</v>
      </c>
      <c r="C25" s="13" t="n">
        <v>0</v>
      </c>
      <c r="D25" s="13" t="n">
        <v>0</v>
      </c>
      <c r="E25" s="13" t="n">
        <v>0</v>
      </c>
      <c r="F25" s="13" t="n">
        <v>0</v>
      </c>
      <c r="G25" s="13" t="n">
        <v>0</v>
      </c>
      <c r="H25" s="13" t="n">
        <v>0</v>
      </c>
      <c r="I25" s="13" t="n">
        <v>0</v>
      </c>
      <c r="J25" s="13" t="n">
        <v>8000</v>
      </c>
      <c r="K25" s="14" t="n">
        <v>12000</v>
      </c>
      <c r="L25" s="14" t="n">
        <v>0</v>
      </c>
      <c r="M25" s="14" t="n">
        <v>0</v>
      </c>
      <c r="N25" s="14" t="n">
        <v>0</v>
      </c>
      <c r="O25" s="14" t="n">
        <v>0</v>
      </c>
      <c r="P25" s="14" t="n">
        <v>0</v>
      </c>
      <c r="Q25" s="14" t="n">
        <v>0</v>
      </c>
      <c r="R25" s="14" t="n">
        <v>0</v>
      </c>
      <c r="S25" s="14" t="n">
        <v>0</v>
      </c>
      <c r="T25" s="14" t="n">
        <v>0</v>
      </c>
      <c r="U25" s="14" t="n">
        <v>0</v>
      </c>
      <c r="V25" s="14" t="n">
        <v>0</v>
      </c>
      <c r="W25" s="5" t="n">
        <f aca="false">SUM(B25:V25)</f>
        <v>20000</v>
      </c>
    </row>
    <row r="26" customFormat="false" ht="15" hidden="false" customHeight="true" outlineLevel="0" collapsed="false">
      <c r="A26" s="1" t="s">
        <v>98</v>
      </c>
      <c r="B26" s="13" t="n">
        <v>2000</v>
      </c>
      <c r="C26" s="13" t="n">
        <v>0</v>
      </c>
      <c r="D26" s="13" t="n">
        <v>0</v>
      </c>
      <c r="E26" s="13" t="n">
        <v>0</v>
      </c>
      <c r="F26" s="13" t="n">
        <v>0</v>
      </c>
      <c r="G26" s="13" t="n">
        <v>0</v>
      </c>
      <c r="H26" s="13" t="n">
        <v>0</v>
      </c>
      <c r="I26" s="13" t="n">
        <v>0</v>
      </c>
      <c r="J26" s="13" t="n">
        <v>0</v>
      </c>
      <c r="K26" s="14" t="n">
        <v>0</v>
      </c>
      <c r="L26" s="14" t="n">
        <v>0</v>
      </c>
      <c r="M26" s="14" t="n">
        <v>0</v>
      </c>
      <c r="N26" s="14" t="n">
        <v>0</v>
      </c>
      <c r="O26" s="14" t="n">
        <v>0</v>
      </c>
      <c r="P26" s="14" t="n">
        <v>0</v>
      </c>
      <c r="Q26" s="14" t="n">
        <v>0</v>
      </c>
      <c r="R26" s="14" t="n">
        <v>0</v>
      </c>
      <c r="S26" s="14" t="n">
        <v>0</v>
      </c>
      <c r="T26" s="14" t="n">
        <v>0</v>
      </c>
      <c r="U26" s="14" t="n">
        <v>0</v>
      </c>
      <c r="V26" s="14" t="n">
        <v>0</v>
      </c>
      <c r="W26" s="5" t="n">
        <f aca="false">SUM(B26:V26)</f>
        <v>2000</v>
      </c>
    </row>
    <row r="27" customFormat="false" ht="15" hidden="false" customHeight="true" outlineLevel="0" collapsed="false">
      <c r="A27" s="8" t="s">
        <v>99</v>
      </c>
      <c r="B27" s="9" t="n">
        <f aca="false">SUM(B22:B26)</f>
        <v>2000</v>
      </c>
      <c r="C27" s="9" t="n">
        <f aca="false">SUM(C22:C26)</f>
        <v>0</v>
      </c>
      <c r="D27" s="9" t="n">
        <f aca="false">SUM(D22:D26)</f>
        <v>0</v>
      </c>
      <c r="E27" s="9" t="n">
        <f aca="false">SUM(E22:E26)</f>
        <v>0</v>
      </c>
      <c r="F27" s="9" t="n">
        <f aca="false">SUM(F22:F26)</f>
        <v>0</v>
      </c>
      <c r="G27" s="9" t="n">
        <f aca="false">SUM(G22:G26)</f>
        <v>0</v>
      </c>
      <c r="H27" s="9" t="n">
        <f aca="false">SUM(H22:H26)</f>
        <v>2000</v>
      </c>
      <c r="I27" s="9" t="n">
        <f aca="false">SUM(I22:I26)</f>
        <v>6200</v>
      </c>
      <c r="J27" s="9" t="n">
        <f aca="false">SUM(J22:J26)</f>
        <v>19900</v>
      </c>
      <c r="K27" s="9" t="n">
        <f aca="false">SUM(K22:K26)</f>
        <v>22900</v>
      </c>
      <c r="L27" s="9" t="n">
        <f aca="false">SUM(L22:L26)</f>
        <v>0</v>
      </c>
      <c r="M27" s="9" t="n">
        <f aca="false">SUM(M22:M26)</f>
        <v>0</v>
      </c>
      <c r="N27" s="9" t="n">
        <f aca="false">SUM(N22:N26)</f>
        <v>0</v>
      </c>
      <c r="O27" s="9" t="n">
        <f aca="false">SUM(O22:O26)</f>
        <v>0</v>
      </c>
      <c r="P27" s="9" t="n">
        <f aca="false">SUM(P22:P26)</f>
        <v>0</v>
      </c>
      <c r="Q27" s="9" t="n">
        <f aca="false">SUM(Q22:Q26)</f>
        <v>0</v>
      </c>
      <c r="R27" s="9" t="n">
        <f aca="false">SUM(R22:R26)</f>
        <v>0</v>
      </c>
      <c r="S27" s="9" t="n">
        <f aca="false">SUM(S22:S26)</f>
        <v>0</v>
      </c>
      <c r="T27" s="9" t="n">
        <f aca="false">SUM(T22:T26)</f>
        <v>0</v>
      </c>
      <c r="U27" s="9" t="n">
        <f aca="false">SUM(U22:U26)</f>
        <v>0</v>
      </c>
      <c r="V27" s="9" t="n">
        <f aca="false">SUM(V22:V26)</f>
        <v>0</v>
      </c>
      <c r="W27" s="9" t="n">
        <f aca="false">SUM(B27:V27)</f>
        <v>53000</v>
      </c>
    </row>
    <row r="28" customFormat="false" ht="15" hidden="false" customHeight="true" outlineLevel="0" collapsed="false">
      <c r="A28" s="8" t="s">
        <v>100</v>
      </c>
      <c r="B28" s="9" t="n">
        <f aca="false">B27</f>
        <v>2000</v>
      </c>
      <c r="C28" s="9" t="n">
        <f aca="false">B28+C27</f>
        <v>2000</v>
      </c>
      <c r="D28" s="9" t="n">
        <f aca="false">C28+D27</f>
        <v>2000</v>
      </c>
      <c r="E28" s="9" t="n">
        <f aca="false">D28+E27</f>
        <v>2000</v>
      </c>
      <c r="F28" s="9" t="n">
        <f aca="false">E28+F27</f>
        <v>2000</v>
      </c>
      <c r="G28" s="9" t="n">
        <f aca="false">F28+G27</f>
        <v>2000</v>
      </c>
      <c r="H28" s="9" t="n">
        <f aca="false">G28+H27</f>
        <v>4000</v>
      </c>
      <c r="I28" s="9" t="n">
        <f aca="false">H28+I27</f>
        <v>10200</v>
      </c>
      <c r="J28" s="9" t="n">
        <f aca="false">I28+J27</f>
        <v>30100</v>
      </c>
      <c r="K28" s="9" t="n">
        <f aca="false">J28+K27</f>
        <v>53000</v>
      </c>
      <c r="L28" s="9" t="n">
        <f aca="false">K28+L27</f>
        <v>53000</v>
      </c>
      <c r="M28" s="9" t="n">
        <f aca="false">L28+M27</f>
        <v>53000</v>
      </c>
      <c r="N28" s="9" t="n">
        <f aca="false">M28+N27</f>
        <v>53000</v>
      </c>
      <c r="O28" s="9" t="n">
        <f aca="false">N28+O27</f>
        <v>53000</v>
      </c>
      <c r="P28" s="9" t="n">
        <f aca="false">O28+P27</f>
        <v>53000</v>
      </c>
      <c r="Q28" s="9" t="n">
        <f aca="false">P28+Q27</f>
        <v>53000</v>
      </c>
      <c r="R28" s="9" t="n">
        <f aca="false">Q28+R27</f>
        <v>53000</v>
      </c>
      <c r="S28" s="9" t="n">
        <f aca="false">R28+S27</f>
        <v>53000</v>
      </c>
      <c r="T28" s="9" t="n">
        <f aca="false">S28+T27</f>
        <v>53000</v>
      </c>
      <c r="U28" s="9" t="n">
        <f aca="false">T28+U27</f>
        <v>53000</v>
      </c>
      <c r="V28" s="9" t="n">
        <f aca="false">U28+V27</f>
        <v>53000</v>
      </c>
      <c r="W28" s="9" t="n">
        <f aca="false">V28</f>
        <v>53000</v>
      </c>
    </row>
    <row r="30" customFormat="false" ht="15" hidden="false" customHeight="true" outlineLevel="0" collapsed="false">
      <c r="A30" s="4" t="s">
        <v>101</v>
      </c>
      <c r="B30" s="4"/>
      <c r="C30" s="4"/>
      <c r="D30" s="4"/>
      <c r="E30" s="4"/>
      <c r="F30" s="4"/>
      <c r="G30" s="4"/>
      <c r="H30" s="4"/>
      <c r="I30" s="4"/>
      <c r="J30" s="4"/>
      <c r="K30" s="4"/>
      <c r="L30" s="4"/>
      <c r="M30" s="4"/>
      <c r="N30" s="4"/>
      <c r="O30" s="4"/>
      <c r="P30" s="4"/>
      <c r="Q30" s="4"/>
      <c r="R30" s="4"/>
      <c r="S30" s="4"/>
      <c r="T30" s="4"/>
      <c r="U30" s="4"/>
      <c r="V30" s="4"/>
      <c r="W30" s="4"/>
    </row>
    <row r="31" customFormat="false" ht="15" hidden="false" customHeight="true" outlineLevel="0" collapsed="false">
      <c r="A31" s="3" t="s">
        <v>102</v>
      </c>
    </row>
    <row r="32" customFormat="false" ht="15" hidden="false" customHeight="true" outlineLevel="0" collapsed="false">
      <c r="A32" s="1" t="s">
        <v>103</v>
      </c>
      <c r="B32" s="13" t="n">
        <f aca="false">SUM(B38:B40)*'Operating Model'!B66</f>
        <v>119184.907552083</v>
      </c>
      <c r="C32" s="13" t="n">
        <f aca="false">SUM(C38:C40)*'Operating Model'!B66</f>
        <v>118233.981770833</v>
      </c>
      <c r="D32" s="13" t="n">
        <f aca="false">SUM(D38:D40)*'Operating Model'!B66</f>
        <v>141802.958333333</v>
      </c>
      <c r="E32" s="13" t="n">
        <f aca="false">SUM(E38:E40)*'Operating Model'!B66</f>
        <v>142459.434895833</v>
      </c>
      <c r="F32" s="13" t="n">
        <f aca="false">SUM(F38:F40)*'Operating Model'!B66</f>
        <v>131059.661458333</v>
      </c>
      <c r="G32" s="13" t="n">
        <f aca="false">SUM(G38:G40)*'Operating Model'!B66</f>
        <v>171219.458333333</v>
      </c>
      <c r="H32" s="13" t="n">
        <f aca="false">SUM(H38:H40)*'Operating Model'!B66</f>
        <v>180948.989583333</v>
      </c>
      <c r="I32" s="13" t="n">
        <f aca="false">SUM(I38:I40)*'Operating Model'!B66</f>
        <v>167067.735677083</v>
      </c>
      <c r="J32" s="13" t="n">
        <f aca="false">SUM(J38:J40)*'Operating Model'!B66</f>
        <v>97709.0052083333</v>
      </c>
      <c r="K32" s="14" t="n">
        <f aca="false">SUM(K38:K40)*'Operating Model'!B66</f>
        <v>17175</v>
      </c>
      <c r="L32" s="14" t="n">
        <f aca="false">SUM(L38:L40)*'Operating Model'!B66</f>
        <v>0</v>
      </c>
      <c r="M32" s="14" t="n">
        <f aca="false">SUM(M38:M40)*'Operating Model'!B66</f>
        <v>0</v>
      </c>
      <c r="N32" s="14" t="n">
        <f aca="false">SUM(N38:N40)*'Operating Model'!B66</f>
        <v>0</v>
      </c>
      <c r="O32" s="14" t="n">
        <f aca="false">SUM(O38:O40)*'Operating Model'!B66</f>
        <v>0</v>
      </c>
      <c r="P32" s="14" t="n">
        <f aca="false">SUM(P38:P40)*'Operating Model'!B66</f>
        <v>0</v>
      </c>
      <c r="Q32" s="14" t="n">
        <f aca="false">SUM(Q38:Q40)*'Operating Model'!B66</f>
        <v>0</v>
      </c>
      <c r="R32" s="14" t="n">
        <f aca="false">SUM(R38:R40)*'Operating Model'!B66</f>
        <v>0</v>
      </c>
      <c r="S32" s="14" t="n">
        <f aca="false">SUM(S38:S40)*'Operating Model'!B66</f>
        <v>0</v>
      </c>
      <c r="T32" s="14" t="n">
        <f aca="false">SUM(T38:T40)*'Operating Model'!B66</f>
        <v>0</v>
      </c>
      <c r="U32" s="14" t="n">
        <f aca="false">SUM(U38:U40)*'Operating Model'!B66</f>
        <v>0</v>
      </c>
      <c r="V32" s="14" t="n">
        <f aca="false">SUM(V38:V40)*'Operating Model'!B66</f>
        <v>0</v>
      </c>
      <c r="W32" s="5" t="n">
        <f aca="false">SUM(B32:V32)</f>
        <v>1286861.1328125</v>
      </c>
    </row>
    <row r="33" customFormat="false" ht="15" hidden="false" customHeight="true" outlineLevel="0" collapsed="false">
      <c r="A33" s="1" t="s">
        <v>104</v>
      </c>
      <c r="B33" s="13" t="n">
        <f aca="false">SUM(B38:B40)-B32</f>
        <v>39728.3025173611</v>
      </c>
      <c r="C33" s="13" t="n">
        <f aca="false">SUM(C38:C40)-C32</f>
        <v>39411.3272569444</v>
      </c>
      <c r="D33" s="13" t="n">
        <f aca="false">SUM(D38:D40)-D32</f>
        <v>47267.6527777778</v>
      </c>
      <c r="E33" s="13" t="n">
        <f aca="false">SUM(E38:E40)-E32</f>
        <v>47486.4782986111</v>
      </c>
      <c r="F33" s="13" t="n">
        <f aca="false">SUM(F38:F40)-F32</f>
        <v>43686.5538194444</v>
      </c>
      <c r="G33" s="13" t="n">
        <f aca="false">SUM(G38:G40)-G32</f>
        <v>57073.1527777778</v>
      </c>
      <c r="H33" s="13" t="n">
        <f aca="false">SUM(H38:H40)-H32</f>
        <v>60316.3298611111</v>
      </c>
      <c r="I33" s="13" t="n">
        <f aca="false">SUM(I38:I40)-I32</f>
        <v>55689.2452256944</v>
      </c>
      <c r="J33" s="13" t="n">
        <f aca="false">SUM(J38:J40)-J32</f>
        <v>32569.6684027778</v>
      </c>
      <c r="K33" s="14" t="n">
        <f aca="false">SUM(K38:K40)-K32</f>
        <v>5725</v>
      </c>
      <c r="L33" s="14" t="n">
        <f aca="false">SUM(L38:L40)-L32</f>
        <v>0</v>
      </c>
      <c r="M33" s="14" t="n">
        <f aca="false">SUM(M38:M40)-M32</f>
        <v>0</v>
      </c>
      <c r="N33" s="14" t="n">
        <f aca="false">SUM(N38:N40)-N32</f>
        <v>0</v>
      </c>
      <c r="O33" s="14" t="n">
        <f aca="false">SUM(O38:O40)-O32</f>
        <v>0</v>
      </c>
      <c r="P33" s="14" t="n">
        <f aca="false">SUM(P38:P40)-P32</f>
        <v>0</v>
      </c>
      <c r="Q33" s="14" t="n">
        <f aca="false">SUM(Q38:Q40)-Q32</f>
        <v>0</v>
      </c>
      <c r="R33" s="14" t="n">
        <f aca="false">SUM(R38:R40)-R32</f>
        <v>0</v>
      </c>
      <c r="S33" s="14" t="n">
        <f aca="false">SUM(S38:S40)-S32</f>
        <v>0</v>
      </c>
      <c r="T33" s="14" t="n">
        <f aca="false">SUM(T38:T40)-T32</f>
        <v>0</v>
      </c>
      <c r="U33" s="14" t="n">
        <f aca="false">SUM(U38:U40)-U32</f>
        <v>0</v>
      </c>
      <c r="V33" s="14" t="n">
        <f aca="false">SUM(V38:V40)-V32</f>
        <v>0</v>
      </c>
      <c r="W33" s="5" t="n">
        <f aca="false">SUM(B33:V33)</f>
        <v>428953.7109375</v>
      </c>
    </row>
    <row r="34" customFormat="false" ht="15" hidden="false" customHeight="true" outlineLevel="0" collapsed="false">
      <c r="A34" s="1" t="s">
        <v>105</v>
      </c>
      <c r="B34" s="13" t="n">
        <v>0</v>
      </c>
      <c r="C34" s="13" t="n">
        <v>0</v>
      </c>
      <c r="D34" s="13" t="n">
        <v>0</v>
      </c>
      <c r="E34" s="13" t="n">
        <v>0</v>
      </c>
      <c r="F34" s="13" t="n">
        <v>0</v>
      </c>
      <c r="G34" s="13" t="n">
        <v>0</v>
      </c>
      <c r="H34" s="13" t="n">
        <v>0</v>
      </c>
      <c r="I34" s="13" t="n">
        <v>0</v>
      </c>
      <c r="J34" s="13" t="n">
        <v>0</v>
      </c>
      <c r="K34" s="14" t="n">
        <f aca="false">'Operating Model'!B78</f>
        <v>35360.2</v>
      </c>
      <c r="L34" s="14" t="n">
        <f aca="false">'Operating Model'!C78</f>
        <v>35360.2</v>
      </c>
      <c r="M34" s="14" t="n">
        <f aca="false">'Operating Model'!D78</f>
        <v>35360.2</v>
      </c>
      <c r="N34" s="14" t="n">
        <f aca="false">'Operating Model'!E78</f>
        <v>43950.25</v>
      </c>
      <c r="O34" s="14" t="n">
        <f aca="false">'Operating Model'!F78</f>
        <v>43950.25</v>
      </c>
      <c r="P34" s="14" t="n">
        <f aca="false">'Operating Model'!G78</f>
        <v>43950.25</v>
      </c>
      <c r="Q34" s="14" t="n">
        <f aca="false">'Operating Model'!H78</f>
        <v>49676.95</v>
      </c>
      <c r="R34" s="14" t="n">
        <f aca="false">'Operating Model'!I78</f>
        <v>49676.95</v>
      </c>
      <c r="S34" s="14" t="n">
        <f aca="false">'Operating Model'!J78</f>
        <v>49676.95</v>
      </c>
      <c r="T34" s="14" t="n">
        <f aca="false">'Operating Model'!K78</f>
        <v>49676.95</v>
      </c>
      <c r="U34" s="14" t="n">
        <f aca="false">'Operating Model'!L78</f>
        <v>49676.95</v>
      </c>
      <c r="V34" s="14" t="n">
        <f aca="false">'Operating Model'!M78</f>
        <v>49676.95</v>
      </c>
      <c r="W34" s="5" t="n">
        <f aca="false">SUM(B34:V34)</f>
        <v>535993.05</v>
      </c>
    </row>
    <row r="35" customFormat="false" ht="15" hidden="false" customHeight="true" outlineLevel="0" collapsed="false">
      <c r="A35" s="8" t="s">
        <v>106</v>
      </c>
      <c r="B35" s="9" t="n">
        <f aca="false">B32+B33+B34</f>
        <v>158913.210069444</v>
      </c>
      <c r="C35" s="9" t="n">
        <f aca="false">C32+C33+C34</f>
        <v>157645.309027778</v>
      </c>
      <c r="D35" s="9" t="n">
        <f aca="false">D32+D33+D34</f>
        <v>189070.611111111</v>
      </c>
      <c r="E35" s="9" t="n">
        <f aca="false">E32+E33+E34</f>
        <v>189945.913194444</v>
      </c>
      <c r="F35" s="9" t="n">
        <f aca="false">F32+F33+F34</f>
        <v>174746.215277778</v>
      </c>
      <c r="G35" s="9" t="n">
        <f aca="false">G32+G33+G34</f>
        <v>228292.611111111</v>
      </c>
      <c r="H35" s="9" t="n">
        <f aca="false">H32+H33+H34</f>
        <v>241265.319444444</v>
      </c>
      <c r="I35" s="9" t="n">
        <f aca="false">I32+I33+I34</f>
        <v>222756.980902778</v>
      </c>
      <c r="J35" s="9" t="n">
        <f aca="false">J32+J33+J34</f>
        <v>130278.673611111</v>
      </c>
      <c r="K35" s="9" t="n">
        <f aca="false">K32+K33+K34</f>
        <v>58260.2</v>
      </c>
      <c r="L35" s="9" t="n">
        <f aca="false">L32+L33+L34</f>
        <v>35360.2</v>
      </c>
      <c r="M35" s="9" t="n">
        <f aca="false">M32+M33+M34</f>
        <v>35360.2</v>
      </c>
      <c r="N35" s="9" t="n">
        <f aca="false">N32+N33+N34</f>
        <v>43950.25</v>
      </c>
      <c r="O35" s="9" t="n">
        <f aca="false">O32+O33+O34</f>
        <v>43950.25</v>
      </c>
      <c r="P35" s="9" t="n">
        <f aca="false">P32+P33+P34</f>
        <v>43950.25</v>
      </c>
      <c r="Q35" s="9" t="n">
        <f aca="false">Q32+Q33+Q34</f>
        <v>49676.95</v>
      </c>
      <c r="R35" s="9" t="n">
        <f aca="false">R32+R33+R34</f>
        <v>49676.95</v>
      </c>
      <c r="S35" s="9" t="n">
        <f aca="false">S32+S33+S34</f>
        <v>49676.95</v>
      </c>
      <c r="T35" s="9" t="n">
        <f aca="false">T32+T33+T34</f>
        <v>49676.95</v>
      </c>
      <c r="U35" s="9" t="n">
        <f aca="false">U32+U33+U34</f>
        <v>49676.95</v>
      </c>
      <c r="V35" s="9" t="n">
        <f aca="false">V32+V33+V34</f>
        <v>49676.95</v>
      </c>
      <c r="W35" s="9" t="n">
        <f aca="false">SUM(B35:V35)</f>
        <v>2251807.89375</v>
      </c>
    </row>
    <row r="36" customFormat="false" ht="15" hidden="false" customHeight="true" outlineLevel="0" collapsed="false">
      <c r="B36" s="13"/>
      <c r="C36" s="13"/>
      <c r="D36" s="13"/>
      <c r="E36" s="13"/>
      <c r="F36" s="13"/>
      <c r="G36" s="13"/>
      <c r="H36" s="13"/>
      <c r="I36" s="13"/>
      <c r="J36" s="13"/>
      <c r="K36" s="14"/>
      <c r="L36" s="14"/>
      <c r="M36" s="14"/>
      <c r="N36" s="14"/>
      <c r="O36" s="14"/>
      <c r="P36" s="14"/>
      <c r="Q36" s="14"/>
      <c r="R36" s="14"/>
      <c r="S36" s="14"/>
      <c r="T36" s="14"/>
      <c r="U36" s="14"/>
      <c r="V36" s="14"/>
      <c r="W36" s="5"/>
    </row>
    <row r="37" customFormat="false" ht="15" hidden="false" customHeight="true" outlineLevel="0" collapsed="false">
      <c r="A37" s="3" t="s">
        <v>107</v>
      </c>
      <c r="B37" s="13"/>
      <c r="C37" s="13"/>
      <c r="D37" s="13"/>
      <c r="E37" s="13"/>
      <c r="F37" s="13"/>
      <c r="G37" s="13"/>
      <c r="H37" s="13"/>
      <c r="I37" s="13"/>
      <c r="J37" s="13"/>
      <c r="K37" s="14"/>
      <c r="L37" s="14"/>
      <c r="M37" s="14"/>
      <c r="N37" s="14"/>
      <c r="O37" s="14"/>
      <c r="P37" s="14"/>
      <c r="Q37" s="14"/>
      <c r="R37" s="14"/>
      <c r="S37" s="14"/>
      <c r="T37" s="14"/>
      <c r="U37" s="14"/>
      <c r="V37" s="14"/>
      <c r="W37" s="5"/>
    </row>
    <row r="38" customFormat="false" ht="15" hidden="false" customHeight="true" outlineLevel="0" collapsed="false">
      <c r="A38" s="1" t="s">
        <v>108</v>
      </c>
      <c r="B38" s="13" t="n">
        <f aca="false">B13</f>
        <v>156181.111111111</v>
      </c>
      <c r="C38" s="13" t="n">
        <f aca="false">C13</f>
        <v>156181.111111111</v>
      </c>
      <c r="D38" s="13" t="n">
        <f aca="false">D13</f>
        <v>186731.111111111</v>
      </c>
      <c r="E38" s="13" t="n">
        <f aca="false">E13</f>
        <v>186731.111111111</v>
      </c>
      <c r="F38" s="13" t="n">
        <f aca="false">F13</f>
        <v>170731.111111111</v>
      </c>
      <c r="G38" s="13" t="n">
        <f aca="false">G13</f>
        <v>223231.111111111</v>
      </c>
      <c r="H38" s="13" t="n">
        <f aca="false">H13</f>
        <v>233111.111111111</v>
      </c>
      <c r="I38" s="13" t="n">
        <f aca="false">I13</f>
        <v>209421.111111111</v>
      </c>
      <c r="J38" s="13" t="n">
        <f aca="false">J13</f>
        <v>102761.111111111</v>
      </c>
      <c r="K38" s="14" t="n">
        <v>0</v>
      </c>
      <c r="L38" s="14" t="n">
        <v>0</v>
      </c>
      <c r="M38" s="14" t="n">
        <v>0</v>
      </c>
      <c r="N38" s="14" t="n">
        <v>0</v>
      </c>
      <c r="O38" s="14" t="n">
        <v>0</v>
      </c>
      <c r="P38" s="14" t="n">
        <v>0</v>
      </c>
      <c r="Q38" s="14" t="n">
        <v>0</v>
      </c>
      <c r="R38" s="14" t="n">
        <v>0</v>
      </c>
      <c r="S38" s="14" t="n">
        <v>0</v>
      </c>
      <c r="T38" s="14" t="n">
        <v>0</v>
      </c>
      <c r="U38" s="14" t="n">
        <v>0</v>
      </c>
      <c r="V38" s="14" t="n">
        <v>0</v>
      </c>
      <c r="W38" s="5" t="n">
        <f aca="false">SUM(B38:V38)</f>
        <v>1625080</v>
      </c>
    </row>
    <row r="39" customFormat="false" ht="15" hidden="false" customHeight="true" outlineLevel="0" collapsed="false">
      <c r="A39" s="1" t="s">
        <v>109</v>
      </c>
      <c r="B39" s="13" t="n">
        <f aca="false">B18</f>
        <v>732.098958333333</v>
      </c>
      <c r="C39" s="13" t="n">
        <f aca="false">C18</f>
        <v>1464.19791666667</v>
      </c>
      <c r="D39" s="13" t="n">
        <f aca="false">D18</f>
        <v>2339.5</v>
      </c>
      <c r="E39" s="13" t="n">
        <f aca="false">E18</f>
        <v>3214.80208333333</v>
      </c>
      <c r="F39" s="13" t="n">
        <f aca="false">F18</f>
        <v>4015.10416666667</v>
      </c>
      <c r="G39" s="13" t="n">
        <f aca="false">G18</f>
        <v>5061.5</v>
      </c>
      <c r="H39" s="13" t="n">
        <f aca="false">H18</f>
        <v>6154.20833333334</v>
      </c>
      <c r="I39" s="13" t="n">
        <f aca="false">I18</f>
        <v>7135.86979166667</v>
      </c>
      <c r="J39" s="13" t="n">
        <f aca="false">J18</f>
        <v>7617.5625</v>
      </c>
      <c r="K39" s="14" t="n">
        <v>0</v>
      </c>
      <c r="L39" s="14" t="n">
        <v>0</v>
      </c>
      <c r="M39" s="14" t="n">
        <v>0</v>
      </c>
      <c r="N39" s="14" t="n">
        <v>0</v>
      </c>
      <c r="O39" s="14" t="n">
        <v>0</v>
      </c>
      <c r="P39" s="14" t="n">
        <v>0</v>
      </c>
      <c r="Q39" s="14" t="n">
        <v>0</v>
      </c>
      <c r="R39" s="14" t="n">
        <v>0</v>
      </c>
      <c r="S39" s="14" t="n">
        <v>0</v>
      </c>
      <c r="T39" s="14" t="n">
        <v>0</v>
      </c>
      <c r="U39" s="14" t="n">
        <v>0</v>
      </c>
      <c r="V39" s="14" t="n">
        <v>0</v>
      </c>
      <c r="W39" s="5" t="n">
        <f aca="false">SUM(B39:V39)</f>
        <v>37734.84375</v>
      </c>
    </row>
    <row r="40" customFormat="false" ht="15" hidden="false" customHeight="true" outlineLevel="0" collapsed="false">
      <c r="A40" s="1" t="s">
        <v>16</v>
      </c>
      <c r="B40" s="13" t="n">
        <f aca="false">B27</f>
        <v>2000</v>
      </c>
      <c r="C40" s="13" t="n">
        <f aca="false">C27</f>
        <v>0</v>
      </c>
      <c r="D40" s="13" t="n">
        <f aca="false">D27</f>
        <v>0</v>
      </c>
      <c r="E40" s="13" t="n">
        <f aca="false">E27</f>
        <v>0</v>
      </c>
      <c r="F40" s="13" t="n">
        <f aca="false">F27</f>
        <v>0</v>
      </c>
      <c r="G40" s="13" t="n">
        <f aca="false">G27</f>
        <v>0</v>
      </c>
      <c r="H40" s="13" t="n">
        <f aca="false">H27</f>
        <v>2000</v>
      </c>
      <c r="I40" s="13" t="n">
        <f aca="false">I27</f>
        <v>6200</v>
      </c>
      <c r="J40" s="13" t="n">
        <f aca="false">J27</f>
        <v>19900</v>
      </c>
      <c r="K40" s="14" t="n">
        <f aca="false">K27</f>
        <v>22900</v>
      </c>
      <c r="L40" s="14" t="n">
        <f aca="false">L27</f>
        <v>0</v>
      </c>
      <c r="M40" s="14" t="n">
        <f aca="false">M27</f>
        <v>0</v>
      </c>
      <c r="N40" s="14" t="n">
        <f aca="false">N27</f>
        <v>0</v>
      </c>
      <c r="O40" s="14" t="n">
        <f aca="false">O27</f>
        <v>0</v>
      </c>
      <c r="P40" s="14" t="n">
        <f aca="false">P27</f>
        <v>0</v>
      </c>
      <c r="Q40" s="14" t="n">
        <f aca="false">Q27</f>
        <v>0</v>
      </c>
      <c r="R40" s="14" t="n">
        <f aca="false">R27</f>
        <v>0</v>
      </c>
      <c r="S40" s="14" t="n">
        <f aca="false">S27</f>
        <v>0</v>
      </c>
      <c r="T40" s="14" t="n">
        <f aca="false">T27</f>
        <v>0</v>
      </c>
      <c r="U40" s="14" t="n">
        <f aca="false">U27</f>
        <v>0</v>
      </c>
      <c r="V40" s="14" t="n">
        <f aca="false">V27</f>
        <v>0</v>
      </c>
      <c r="W40" s="5" t="n">
        <f aca="false">SUM(B40:V40)</f>
        <v>53000</v>
      </c>
    </row>
    <row r="41" customFormat="false" ht="15" hidden="false" customHeight="true" outlineLevel="0" collapsed="false">
      <c r="A41" s="1" t="s">
        <v>30</v>
      </c>
      <c r="B41" s="13" t="n">
        <v>0</v>
      </c>
      <c r="C41" s="13" t="n">
        <v>0</v>
      </c>
      <c r="D41" s="13" t="n">
        <v>0</v>
      </c>
      <c r="E41" s="13" t="n">
        <v>0</v>
      </c>
      <c r="F41" s="13" t="n">
        <v>0</v>
      </c>
      <c r="G41" s="13" t="n">
        <v>0</v>
      </c>
      <c r="H41" s="13" t="n">
        <v>0</v>
      </c>
      <c r="I41" s="13" t="n">
        <v>0</v>
      </c>
      <c r="J41" s="13" t="n">
        <v>0</v>
      </c>
      <c r="K41" s="14" t="n">
        <f aca="false">'Operating Model'!B139</f>
        <v>26977.3526666667</v>
      </c>
      <c r="L41" s="14" t="n">
        <f aca="false">'Operating Model'!C139</f>
        <v>26977.3526666667</v>
      </c>
      <c r="M41" s="14" t="n">
        <f aca="false">'Operating Model'!D139</f>
        <v>26977.3526666667</v>
      </c>
      <c r="N41" s="14" t="n">
        <f aca="false">'Operating Model'!E139</f>
        <v>28523.5616666667</v>
      </c>
      <c r="O41" s="14" t="n">
        <f aca="false">'Operating Model'!F139</f>
        <v>28523.5616666667</v>
      </c>
      <c r="P41" s="14" t="n">
        <f aca="false">'Operating Model'!G139</f>
        <v>28523.5616666667</v>
      </c>
      <c r="Q41" s="14" t="n">
        <f aca="false">'Operating Model'!H139</f>
        <v>29554.3676666667</v>
      </c>
      <c r="R41" s="14" t="n">
        <f aca="false">'Operating Model'!I139</f>
        <v>29554.3676666667</v>
      </c>
      <c r="S41" s="14" t="n">
        <f aca="false">'Operating Model'!J139</f>
        <v>29554.3676666667</v>
      </c>
      <c r="T41" s="14" t="n">
        <f aca="false">'Operating Model'!K139</f>
        <v>29554.3676666667</v>
      </c>
      <c r="U41" s="14" t="n">
        <f aca="false">'Operating Model'!L139</f>
        <v>29554.3676666667</v>
      </c>
      <c r="V41" s="14" t="n">
        <f aca="false">'Operating Model'!M139</f>
        <v>29554.3676666667</v>
      </c>
      <c r="W41" s="5" t="n">
        <f aca="false">SUM(B41:V41)</f>
        <v>343828.949</v>
      </c>
    </row>
    <row r="42" customFormat="false" ht="15" hidden="false" customHeight="true" outlineLevel="0" collapsed="false">
      <c r="A42" s="1" t="s">
        <v>110</v>
      </c>
      <c r="B42" s="13" t="n">
        <v>0</v>
      </c>
      <c r="C42" s="13" t="n">
        <v>0</v>
      </c>
      <c r="D42" s="13" t="n">
        <v>0</v>
      </c>
      <c r="E42" s="13" t="n">
        <v>0</v>
      </c>
      <c r="F42" s="13" t="n">
        <v>0</v>
      </c>
      <c r="G42" s="13" t="n">
        <v>0</v>
      </c>
      <c r="H42" s="13" t="n">
        <v>0</v>
      </c>
      <c r="I42" s="13" t="n">
        <v>0</v>
      </c>
      <c r="J42" s="13" t="n">
        <v>0</v>
      </c>
      <c r="K42" s="14" t="n">
        <f aca="false">'Capital Stack'!B17</f>
        <v>10366.8656964012</v>
      </c>
      <c r="L42" s="14" t="n">
        <f aca="false">'Capital Stack'!B17</f>
        <v>10366.8656964012</v>
      </c>
      <c r="M42" s="14" t="n">
        <f aca="false">'Capital Stack'!B17</f>
        <v>10366.8656964012</v>
      </c>
      <c r="N42" s="14" t="n">
        <f aca="false">'Capital Stack'!B17</f>
        <v>10366.8656964012</v>
      </c>
      <c r="O42" s="14" t="n">
        <f aca="false">'Capital Stack'!B17</f>
        <v>10366.8656964012</v>
      </c>
      <c r="P42" s="14" t="n">
        <f aca="false">'Capital Stack'!B17</f>
        <v>10366.8656964012</v>
      </c>
      <c r="Q42" s="14" t="n">
        <f aca="false">'Capital Stack'!B17</f>
        <v>10366.8656964012</v>
      </c>
      <c r="R42" s="14" t="n">
        <f aca="false">'Capital Stack'!B17</f>
        <v>10366.8656964012</v>
      </c>
      <c r="S42" s="14" t="n">
        <f aca="false">'Capital Stack'!B17</f>
        <v>10366.8656964012</v>
      </c>
      <c r="T42" s="14" t="n">
        <f aca="false">'Capital Stack'!B17</f>
        <v>10366.8656964012</v>
      </c>
      <c r="U42" s="14" t="n">
        <f aca="false">'Capital Stack'!B17</f>
        <v>10366.8656964012</v>
      </c>
      <c r="V42" s="14" t="n">
        <f aca="false">'Capital Stack'!B17</f>
        <v>10366.8656964012</v>
      </c>
      <c r="W42" s="5" t="n">
        <f aca="false">SUM(B42:V42)</f>
        <v>124402.388356814</v>
      </c>
    </row>
    <row r="43" customFormat="false" ht="15" hidden="false" customHeight="true" outlineLevel="0" collapsed="false">
      <c r="A43" s="8" t="s">
        <v>111</v>
      </c>
      <c r="B43" s="9" t="n">
        <f aca="false">SUM(B38:B42)</f>
        <v>158913.210069444</v>
      </c>
      <c r="C43" s="9" t="n">
        <f aca="false">SUM(C38:C42)</f>
        <v>157645.309027778</v>
      </c>
      <c r="D43" s="9" t="n">
        <f aca="false">SUM(D38:D42)</f>
        <v>189070.611111111</v>
      </c>
      <c r="E43" s="9" t="n">
        <f aca="false">SUM(E38:E42)</f>
        <v>189945.913194444</v>
      </c>
      <c r="F43" s="9" t="n">
        <f aca="false">SUM(F38:F42)</f>
        <v>174746.215277778</v>
      </c>
      <c r="G43" s="9" t="n">
        <f aca="false">SUM(G38:G42)</f>
        <v>228292.611111111</v>
      </c>
      <c r="H43" s="9" t="n">
        <f aca="false">SUM(H38:H42)</f>
        <v>241265.319444444</v>
      </c>
      <c r="I43" s="9" t="n">
        <f aca="false">SUM(I38:I42)</f>
        <v>222756.980902778</v>
      </c>
      <c r="J43" s="9" t="n">
        <f aca="false">SUM(J38:J42)</f>
        <v>130278.673611111</v>
      </c>
      <c r="K43" s="9" t="n">
        <f aca="false">SUM(K38:K42)</f>
        <v>60244.2183630679</v>
      </c>
      <c r="L43" s="9" t="n">
        <f aca="false">SUM(L38:L42)</f>
        <v>37344.2183630679</v>
      </c>
      <c r="M43" s="9" t="n">
        <f aca="false">SUM(M38:M42)</f>
        <v>37344.2183630679</v>
      </c>
      <c r="N43" s="9" t="n">
        <f aca="false">SUM(N38:N42)</f>
        <v>38890.4273630679</v>
      </c>
      <c r="O43" s="9" t="n">
        <f aca="false">SUM(O38:O42)</f>
        <v>38890.4273630679</v>
      </c>
      <c r="P43" s="9" t="n">
        <f aca="false">SUM(P38:P42)</f>
        <v>38890.4273630679</v>
      </c>
      <c r="Q43" s="9" t="n">
        <f aca="false">SUM(Q38:Q42)</f>
        <v>39921.2333630679</v>
      </c>
      <c r="R43" s="9" t="n">
        <f aca="false">SUM(R38:R42)</f>
        <v>39921.2333630679</v>
      </c>
      <c r="S43" s="9" t="n">
        <f aca="false">SUM(S38:S42)</f>
        <v>39921.2333630679</v>
      </c>
      <c r="T43" s="9" t="n">
        <f aca="false">SUM(T38:T42)</f>
        <v>39921.2333630679</v>
      </c>
      <c r="U43" s="9" t="n">
        <f aca="false">SUM(U38:U42)</f>
        <v>39921.2333630679</v>
      </c>
      <c r="V43" s="9" t="n">
        <f aca="false">SUM(V38:V42)</f>
        <v>39921.2333630679</v>
      </c>
      <c r="W43" s="9" t="n">
        <f aca="false">SUM(B43:V43)</f>
        <v>2184046.18110681</v>
      </c>
    </row>
    <row r="44" customFormat="false" ht="15" hidden="false" customHeight="true" outlineLevel="0" collapsed="false">
      <c r="B44" s="13"/>
      <c r="C44" s="13"/>
      <c r="D44" s="13"/>
      <c r="E44" s="13"/>
      <c r="F44" s="13"/>
      <c r="G44" s="13"/>
      <c r="H44" s="13"/>
      <c r="I44" s="13"/>
      <c r="J44" s="13"/>
      <c r="K44" s="14"/>
      <c r="L44" s="14"/>
      <c r="M44" s="14"/>
      <c r="N44" s="14"/>
      <c r="O44" s="14"/>
      <c r="P44" s="14"/>
      <c r="Q44" s="14"/>
      <c r="R44" s="14"/>
      <c r="S44" s="14"/>
      <c r="T44" s="14"/>
      <c r="U44" s="14"/>
      <c r="V44" s="14"/>
      <c r="W44" s="5"/>
    </row>
    <row r="45" customFormat="false" ht="15" hidden="false" customHeight="true" outlineLevel="0" collapsed="false">
      <c r="A45" s="8" t="s">
        <v>112</v>
      </c>
      <c r="B45" s="9" t="n">
        <f aca="false">B35-B43</f>
        <v>0</v>
      </c>
      <c r="C45" s="9" t="n">
        <f aca="false">C35-C43</f>
        <v>0</v>
      </c>
      <c r="D45" s="9" t="n">
        <f aca="false">D35-D43</f>
        <v>0</v>
      </c>
      <c r="E45" s="9" t="n">
        <f aca="false">E35-E43</f>
        <v>0</v>
      </c>
      <c r="F45" s="9" t="n">
        <f aca="false">F35-F43</f>
        <v>0</v>
      </c>
      <c r="G45" s="9" t="n">
        <f aca="false">G35-G43</f>
        <v>0</v>
      </c>
      <c r="H45" s="9" t="n">
        <f aca="false">H35-H43</f>
        <v>0</v>
      </c>
      <c r="I45" s="9" t="n">
        <f aca="false">I35-I43</f>
        <v>0</v>
      </c>
      <c r="J45" s="9" t="n">
        <f aca="false">J35-J43</f>
        <v>0</v>
      </c>
      <c r="K45" s="9" t="n">
        <f aca="false">K35-K43</f>
        <v>-1984.01836306784</v>
      </c>
      <c r="L45" s="9" t="n">
        <f aca="false">L35-L43</f>
        <v>-1984.01836306784</v>
      </c>
      <c r="M45" s="9" t="n">
        <f aca="false">M35-M43</f>
        <v>-1984.01836306784</v>
      </c>
      <c r="N45" s="9" t="n">
        <f aca="false">N35-N43</f>
        <v>5059.82263693216</v>
      </c>
      <c r="O45" s="9" t="n">
        <f aca="false">O35-O43</f>
        <v>5059.82263693216</v>
      </c>
      <c r="P45" s="9" t="n">
        <f aca="false">P35-P43</f>
        <v>5059.82263693216</v>
      </c>
      <c r="Q45" s="9" t="n">
        <f aca="false">Q35-Q43</f>
        <v>9755.71663693216</v>
      </c>
      <c r="R45" s="9" t="n">
        <f aca="false">R35-R43</f>
        <v>9755.71663693216</v>
      </c>
      <c r="S45" s="9" t="n">
        <f aca="false">S35-S43</f>
        <v>9755.71663693216</v>
      </c>
      <c r="T45" s="9" t="n">
        <f aca="false">T35-T43</f>
        <v>9755.71663693216</v>
      </c>
      <c r="U45" s="9" t="n">
        <f aca="false">U35-U43</f>
        <v>9755.71663693216</v>
      </c>
      <c r="V45" s="9" t="n">
        <f aca="false">V35-V43</f>
        <v>9755.71663693216</v>
      </c>
      <c r="W45" s="9" t="n">
        <f aca="false">SUM(B45:V45)</f>
        <v>67761.7126431859</v>
      </c>
    </row>
    <row r="46" customFormat="false" ht="15" hidden="false" customHeight="true" outlineLevel="0" collapsed="false">
      <c r="A46" s="8" t="s">
        <v>113</v>
      </c>
      <c r="B46" s="9" t="n">
        <f aca="false">B45</f>
        <v>0</v>
      </c>
      <c r="C46" s="9" t="n">
        <f aca="false">B46+C45</f>
        <v>0</v>
      </c>
      <c r="D46" s="9" t="n">
        <f aca="false">C46+D45</f>
        <v>0</v>
      </c>
      <c r="E46" s="9" t="n">
        <f aca="false">D46+E45</f>
        <v>0</v>
      </c>
      <c r="F46" s="9" t="n">
        <f aca="false">E46+F45</f>
        <v>0</v>
      </c>
      <c r="G46" s="9" t="n">
        <f aca="false">F46+G45</f>
        <v>0</v>
      </c>
      <c r="H46" s="9" t="n">
        <f aca="false">G46+H45</f>
        <v>0</v>
      </c>
      <c r="I46" s="9" t="n">
        <f aca="false">H46+I45</f>
        <v>0</v>
      </c>
      <c r="J46" s="9" t="n">
        <f aca="false">I46+J45</f>
        <v>0</v>
      </c>
      <c r="K46" s="9" t="n">
        <f aca="false">J46+K45</f>
        <v>-1984.01836306784</v>
      </c>
      <c r="L46" s="9" t="n">
        <f aca="false">K46+L45</f>
        <v>-3968.03672613569</v>
      </c>
      <c r="M46" s="9" t="n">
        <f aca="false">L46+M45</f>
        <v>-5952.05508920353</v>
      </c>
      <c r="N46" s="9" t="n">
        <f aca="false">M46+N45</f>
        <v>-892.232452271375</v>
      </c>
      <c r="O46" s="9" t="n">
        <f aca="false">N46+O45</f>
        <v>4167.59018466078</v>
      </c>
      <c r="P46" s="9" t="n">
        <f aca="false">O46+P45</f>
        <v>9227.41282159294</v>
      </c>
      <c r="Q46" s="9" t="n">
        <f aca="false">P46+Q45</f>
        <v>18983.1294585251</v>
      </c>
      <c r="R46" s="9" t="n">
        <f aca="false">Q46+R45</f>
        <v>28738.8460954573</v>
      </c>
      <c r="S46" s="9" t="n">
        <f aca="false">R46+S45</f>
        <v>38494.5627323894</v>
      </c>
      <c r="T46" s="9" t="n">
        <f aca="false">S46+T45</f>
        <v>48250.2793693216</v>
      </c>
      <c r="U46" s="9" t="n">
        <f aca="false">T46+U45</f>
        <v>58005.9960062538</v>
      </c>
      <c r="V46" s="9" t="n">
        <f aca="false">U46+V45</f>
        <v>67761.7126431859</v>
      </c>
      <c r="W46" s="9" t="n">
        <f aca="false">V46</f>
        <v>67761.7126431859</v>
      </c>
    </row>
    <row r="47" customFormat="false" ht="15" hidden="false" customHeight="true" outlineLevel="0" collapsed="false">
      <c r="A47" s="1" t="s">
        <v>114</v>
      </c>
      <c r="B47" s="13" t="n">
        <f aca="false">B33</f>
        <v>39728.3025173611</v>
      </c>
      <c r="C47" s="13" t="n">
        <f aca="false">B47+C33</f>
        <v>79139.6297743056</v>
      </c>
      <c r="D47" s="13" t="n">
        <f aca="false">C47+D33</f>
        <v>126407.282552083</v>
      </c>
      <c r="E47" s="13" t="n">
        <f aca="false">D47+E33</f>
        <v>173893.760850694</v>
      </c>
      <c r="F47" s="13" t="n">
        <f aca="false">E47+F33</f>
        <v>217580.314670139</v>
      </c>
      <c r="G47" s="13" t="n">
        <f aca="false">F47+G33</f>
        <v>274653.467447917</v>
      </c>
      <c r="H47" s="13" t="n">
        <f aca="false">G47+H33</f>
        <v>334969.797309028</v>
      </c>
      <c r="I47" s="13" t="n">
        <f aca="false">H47+I33</f>
        <v>390659.042534722</v>
      </c>
      <c r="J47" s="13" t="n">
        <f aca="false">I47+J33</f>
        <v>423228.7109375</v>
      </c>
      <c r="K47" s="14" t="n">
        <f aca="false">J47+K33</f>
        <v>428953.7109375</v>
      </c>
      <c r="L47" s="14" t="n">
        <f aca="false">K47+L33</f>
        <v>428953.7109375</v>
      </c>
      <c r="M47" s="14" t="n">
        <f aca="false">L47+M33</f>
        <v>428953.7109375</v>
      </c>
      <c r="N47" s="14" t="n">
        <f aca="false">M47+N33</f>
        <v>428953.7109375</v>
      </c>
      <c r="O47" s="14" t="n">
        <f aca="false">N47+O33</f>
        <v>428953.7109375</v>
      </c>
      <c r="P47" s="14" t="n">
        <f aca="false">O47+P33</f>
        <v>428953.7109375</v>
      </c>
      <c r="Q47" s="14" t="n">
        <f aca="false">P47+Q33</f>
        <v>428953.7109375</v>
      </c>
      <c r="R47" s="14" t="n">
        <f aca="false">Q47+R33</f>
        <v>428953.7109375</v>
      </c>
      <c r="S47" s="14" t="n">
        <f aca="false">R47+S33</f>
        <v>428953.7109375</v>
      </c>
      <c r="T47" s="14" t="n">
        <f aca="false">S47+T33</f>
        <v>428953.7109375</v>
      </c>
      <c r="U47" s="14" t="n">
        <f aca="false">T47+U33</f>
        <v>428953.7109375</v>
      </c>
      <c r="V47" s="14" t="n">
        <f aca="false">U47+V33</f>
        <v>428953.7109375</v>
      </c>
      <c r="W47" s="5" t="n">
        <f aca="false">V47</f>
        <v>428953.7109375</v>
      </c>
    </row>
    <row r="49" customFormat="false" ht="15" hidden="false" customHeight="true" outlineLevel="0" collapsed="false">
      <c r="A49" s="15" t="s">
        <v>115</v>
      </c>
      <c r="B49" s="15"/>
    </row>
    <row r="50" customFormat="false" ht="15" hidden="false" customHeight="true" outlineLevel="0" collapsed="false">
      <c r="A50" s="1" t="s">
        <v>116</v>
      </c>
      <c r="B50" s="5" t="n">
        <f aca="false">W13</f>
        <v>1625080</v>
      </c>
    </row>
    <row r="51" customFormat="false" ht="15" hidden="false" customHeight="true" outlineLevel="0" collapsed="false">
      <c r="A51" s="1" t="s">
        <v>117</v>
      </c>
      <c r="B51" s="5" t="n">
        <f aca="false">W18</f>
        <v>37734.84375</v>
      </c>
    </row>
    <row r="52" customFormat="false" ht="15" hidden="false" customHeight="true" outlineLevel="0" collapsed="false">
      <c r="A52" s="1" t="s">
        <v>118</v>
      </c>
      <c r="B52" s="5" t="n">
        <f aca="false">W27</f>
        <v>53000</v>
      </c>
    </row>
    <row r="53" customFormat="false" ht="15" hidden="false" customHeight="true" outlineLevel="0" collapsed="false">
      <c r="A53" s="3" t="s">
        <v>119</v>
      </c>
      <c r="B53" s="6" t="n">
        <f aca="false">B50+B51+B52</f>
        <v>1715814.84375</v>
      </c>
    </row>
  </sheetData>
  <mergeCells count="6">
    <mergeCell ref="A1:W1"/>
    <mergeCell ref="A6:W6"/>
    <mergeCell ref="A16:W16"/>
    <mergeCell ref="A21:W21"/>
    <mergeCell ref="A30:W30"/>
    <mergeCell ref="A49:B49"/>
  </mergeCells>
  <conditionalFormatting sqref="B45 C45 D45 E45 F45 G45 H45 I45 J45 K45 L45 M45 N45 O45 P45 Q45 R45 S45 T45 U45 V45 W45">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44AD"/>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5"/>
    <col collapsed="false" customWidth="true" hidden="false" outlineLevel="0" max="3" min="2" style="1" width="14"/>
    <col collapsed="false" customWidth="true" hidden="false" outlineLevel="0" max="4" min="4" style="1" width="30"/>
    <col collapsed="false" customWidth="true" hidden="false" outlineLevel="0" max="6" min="5" style="1" width="14"/>
  </cols>
  <sheetData>
    <row r="1" customFormat="false" ht="17.25" hidden="false" customHeight="true" outlineLevel="0" collapsed="false">
      <c r="A1" s="2" t="s">
        <v>120</v>
      </c>
      <c r="B1" s="2"/>
      <c r="C1" s="2"/>
      <c r="D1" s="2"/>
      <c r="E1" s="2"/>
      <c r="F1" s="2"/>
    </row>
    <row r="3" customFormat="false" ht="15" hidden="false" customHeight="true" outlineLevel="0" collapsed="false">
      <c r="A3" s="4" t="s">
        <v>121</v>
      </c>
      <c r="B3" s="4"/>
      <c r="C3" s="4"/>
      <c r="D3" s="4"/>
    </row>
    <row r="4" customFormat="false" ht="15" hidden="false" customHeight="true" outlineLevel="0" collapsed="false">
      <c r="A4" s="3" t="s">
        <v>122</v>
      </c>
      <c r="B4" s="3" t="s">
        <v>123</v>
      </c>
      <c r="C4" s="3" t="s">
        <v>124</v>
      </c>
      <c r="D4" s="3" t="s">
        <v>125</v>
      </c>
    </row>
    <row r="5" customFormat="false" ht="15" hidden="false" customHeight="true" outlineLevel="0" collapsed="false">
      <c r="A5" s="1" t="s">
        <v>14</v>
      </c>
      <c r="B5" s="5" t="n">
        <f aca="false">'Renovation Budget'!E45</f>
        <v>1625080</v>
      </c>
      <c r="C5" s="7"/>
    </row>
    <row r="6" customFormat="false" ht="15" hidden="false" customHeight="true" outlineLevel="0" collapsed="false">
      <c r="A6" s="1" t="s">
        <v>16</v>
      </c>
      <c r="B6" s="5" t="n">
        <f aca="false">'Project Timeline'!B52</f>
        <v>53000</v>
      </c>
      <c r="C6" s="7"/>
    </row>
    <row r="7" customFormat="false" ht="15" hidden="false" customHeight="true" outlineLevel="0" collapsed="false">
      <c r="A7" s="1" t="s">
        <v>15</v>
      </c>
      <c r="B7" s="5" t="n">
        <f aca="false">'Project Timeline'!B51</f>
        <v>37734.84375</v>
      </c>
      <c r="C7" s="7"/>
    </row>
    <row r="8" customFormat="false" ht="15" hidden="false" customHeight="true" outlineLevel="0" collapsed="false">
      <c r="A8" s="8" t="s">
        <v>126</v>
      </c>
      <c r="B8" s="9" t="n">
        <f aca="false">SUM(B5:B7)</f>
        <v>1715814.84375</v>
      </c>
      <c r="C8" s="7"/>
    </row>
    <row r="9" customFormat="false" ht="15" hidden="false" customHeight="true" outlineLevel="0" collapsed="false">
      <c r="B9" s="5"/>
      <c r="C9" s="7"/>
    </row>
    <row r="10" customFormat="false" ht="15" hidden="false" customHeight="true" outlineLevel="0" collapsed="false">
      <c r="A10" s="1" t="s">
        <v>127</v>
      </c>
      <c r="B10" s="5" t="n">
        <f aca="false">B8*'Operating Model'!B66</f>
        <v>1286861.1328125</v>
      </c>
      <c r="C10" s="7" t="n">
        <f aca="false">B10/B8</f>
        <v>0.75</v>
      </c>
      <c r="D10" s="1" t="s">
        <v>128</v>
      </c>
    </row>
    <row r="11" customFormat="false" ht="15" hidden="false" customHeight="true" outlineLevel="0" collapsed="false">
      <c r="A11" s="1" t="s">
        <v>129</v>
      </c>
      <c r="B11" s="5" t="n">
        <f aca="false">B8-B10</f>
        <v>428953.7109375</v>
      </c>
      <c r="C11" s="7" t="n">
        <f aca="false">B11/B8</f>
        <v>0.25</v>
      </c>
    </row>
    <row r="12" customFormat="false" ht="15" hidden="false" customHeight="true" outlineLevel="0" collapsed="false">
      <c r="A12" s="1" t="s">
        <v>130</v>
      </c>
      <c r="B12" s="5" t="n">
        <f aca="false">B11*'Operating Model'!B67</f>
        <v>128686.11328125</v>
      </c>
      <c r="C12" s="7" t="n">
        <f aca="false">B12/B8</f>
        <v>0.075</v>
      </c>
    </row>
    <row r="13" customFormat="false" ht="15" hidden="false" customHeight="true" outlineLevel="0" collapsed="false">
      <c r="A13" s="1" t="s">
        <v>131</v>
      </c>
      <c r="B13" s="5" t="n">
        <f aca="false">B11*'Operating Model'!B68</f>
        <v>300267.59765625</v>
      </c>
      <c r="C13" s="7" t="n">
        <f aca="false">B13/B8</f>
        <v>0.175</v>
      </c>
    </row>
    <row r="14" customFormat="false" ht="15" hidden="false" customHeight="true" outlineLevel="0" collapsed="false">
      <c r="A14" s="8" t="s">
        <v>132</v>
      </c>
      <c r="B14" s="9" t="n">
        <f aca="false">B10+B11</f>
        <v>1715814.84375</v>
      </c>
      <c r="C14" s="16" t="n">
        <f aca="false">B14/B8</f>
        <v>1</v>
      </c>
    </row>
    <row r="16" customFormat="false" ht="15" hidden="false" customHeight="true" outlineLevel="0" collapsed="false">
      <c r="A16" s="4" t="s">
        <v>133</v>
      </c>
      <c r="B16" s="4"/>
      <c r="C16" s="4"/>
      <c r="D16" s="4"/>
    </row>
    <row r="17" customFormat="false" ht="15" hidden="false" customHeight="true" outlineLevel="0" collapsed="false">
      <c r="A17" s="1" t="s">
        <v>40</v>
      </c>
      <c r="B17" s="5" t="n">
        <f aca="false">PMT('Operating Model'!B63/12,'Operating Model'!B64*12,-B10)</f>
        <v>10366.8656964012</v>
      </c>
    </row>
    <row r="18" customFormat="false" ht="15" hidden="false" customHeight="true" outlineLevel="0" collapsed="false">
      <c r="A18" s="1" t="s">
        <v>134</v>
      </c>
      <c r="B18" s="5" t="n">
        <f aca="false">B17*12</f>
        <v>124402.388356814</v>
      </c>
    </row>
    <row r="19" customFormat="false" ht="15" hidden="false" customHeight="true" outlineLevel="0" collapsed="false">
      <c r="A19" s="1" t="s">
        <v>135</v>
      </c>
      <c r="B19" s="1" t="s">
        <v>136</v>
      </c>
    </row>
    <row r="21" customFormat="false" ht="15" hidden="false" customHeight="true" outlineLevel="0" collapsed="false">
      <c r="A21" s="4" t="s">
        <v>137</v>
      </c>
      <c r="B21" s="4"/>
      <c r="C21" s="4"/>
      <c r="D21" s="4"/>
      <c r="E21" s="4"/>
      <c r="F21" s="4"/>
    </row>
    <row r="22" customFormat="false" ht="15" hidden="false" customHeight="true" outlineLevel="0" collapsed="false">
      <c r="B22" s="3" t="s">
        <v>23</v>
      </c>
      <c r="C22" s="3" t="s">
        <v>24</v>
      </c>
      <c r="D22" s="3" t="s">
        <v>25</v>
      </c>
      <c r="E22" s="3" t="s">
        <v>26</v>
      </c>
      <c r="F22" s="3" t="s">
        <v>27</v>
      </c>
    </row>
    <row r="23" customFormat="false" ht="15" hidden="false" customHeight="true" outlineLevel="0" collapsed="false">
      <c r="A23" s="1" t="s">
        <v>33</v>
      </c>
      <c r="B23" s="5" t="n">
        <f aca="false">'Operating Model'!B112</f>
        <v>67761.7126431858</v>
      </c>
      <c r="C23" s="5" t="n">
        <f aca="false">'Operating Model'!C112</f>
        <v>164309.916433186</v>
      </c>
      <c r="D23" s="5" t="n">
        <f aca="false">'Operating Model'!D112</f>
        <v>186374.240108746</v>
      </c>
      <c r="E23" s="5" t="n">
        <f aca="false">'Operating Model'!E112</f>
        <v>197009.691946713</v>
      </c>
      <c r="F23" s="5" t="n">
        <f aca="false">'Operating Model'!F112</f>
        <v>207996.754653799</v>
      </c>
    </row>
    <row r="24" customFormat="false" ht="15" hidden="false" customHeight="true" outlineLevel="0" collapsed="false">
      <c r="A24" s="1" t="s">
        <v>138</v>
      </c>
      <c r="B24" s="5" t="n">
        <f aca="false">B13*'Operating Model'!B69</f>
        <v>24021.4078125</v>
      </c>
      <c r="C24" s="5" t="n">
        <f aca="false">B13*'Operating Model'!B69</f>
        <v>24021.4078125</v>
      </c>
      <c r="D24" s="5" t="n">
        <f aca="false">B13*'Operating Model'!B69</f>
        <v>24021.4078125</v>
      </c>
      <c r="E24" s="5" t="n">
        <f aca="false">B13*'Operating Model'!B69</f>
        <v>24021.4078125</v>
      </c>
      <c r="F24" s="5" t="n">
        <f aca="false">B13*'Operating Model'!B69</f>
        <v>24021.4078125</v>
      </c>
    </row>
    <row r="25" customFormat="false" ht="15" hidden="false" customHeight="true" outlineLevel="0" collapsed="false">
      <c r="A25" s="1" t="s">
        <v>139</v>
      </c>
      <c r="B25" s="5" t="n">
        <f aca="false">B23-B24</f>
        <v>43740.3048306858</v>
      </c>
      <c r="C25" s="5" t="n">
        <f aca="false">C23-C24</f>
        <v>140288.508620686</v>
      </c>
      <c r="D25" s="5" t="n">
        <f aca="false">D23-D24</f>
        <v>162352.832296246</v>
      </c>
      <c r="E25" s="5" t="n">
        <f aca="false">E23-E24</f>
        <v>172988.284134213</v>
      </c>
      <c r="F25" s="5" t="n">
        <f aca="false">F23-F24</f>
        <v>183975.346841299</v>
      </c>
    </row>
    <row r="26" customFormat="false" ht="15" hidden="false" customHeight="true" outlineLevel="0" collapsed="false">
      <c r="A26" s="1" t="s">
        <v>140</v>
      </c>
      <c r="B26" s="5" t="n">
        <f aca="false">B25*'Operating Model'!B68</f>
        <v>30618.2133814801</v>
      </c>
      <c r="C26" s="5" t="n">
        <f aca="false">C25*'Operating Model'!B68</f>
        <v>98201.9560344801</v>
      </c>
      <c r="D26" s="5" t="n">
        <f aca="false">D25*'Operating Model'!B68</f>
        <v>113646.982607372</v>
      </c>
      <c r="E26" s="5" t="n">
        <f aca="false">E25*'Operating Model'!B68</f>
        <v>121091.798893949</v>
      </c>
      <c r="F26" s="5" t="n">
        <f aca="false">F25*'Operating Model'!B68</f>
        <v>128782.742788909</v>
      </c>
    </row>
    <row r="27" customFormat="false" ht="15" hidden="false" customHeight="true" outlineLevel="0" collapsed="false">
      <c r="A27" s="1" t="s">
        <v>141</v>
      </c>
      <c r="B27" s="5" t="n">
        <f aca="false">B25*'Operating Model'!B67</f>
        <v>13122.0914492057</v>
      </c>
      <c r="C27" s="5" t="n">
        <f aca="false">C25*'Operating Model'!B67</f>
        <v>42086.5525862058</v>
      </c>
      <c r="D27" s="5" t="n">
        <f aca="false">D25*'Operating Model'!B67</f>
        <v>48705.8496888738</v>
      </c>
      <c r="E27" s="5" t="n">
        <f aca="false">E25*'Operating Model'!B67</f>
        <v>51896.4852402638</v>
      </c>
      <c r="F27" s="5" t="n">
        <f aca="false">F25*'Operating Model'!B67</f>
        <v>55192.6040523896</v>
      </c>
    </row>
    <row r="28" customFormat="false" ht="15" hidden="false" customHeight="true" outlineLevel="0" collapsed="false">
      <c r="A28" s="8" t="s">
        <v>142</v>
      </c>
      <c r="B28" s="9" t="n">
        <f aca="false">B24+B26</f>
        <v>54639.6211939801</v>
      </c>
      <c r="C28" s="9" t="n">
        <f aca="false">C24+C26</f>
        <v>122223.36384698</v>
      </c>
      <c r="D28" s="9" t="n">
        <f aca="false">D24+D26</f>
        <v>137668.390419872</v>
      </c>
      <c r="E28" s="9" t="n">
        <f aca="false">E24+E26</f>
        <v>145113.206706449</v>
      </c>
      <c r="F28" s="9" t="n">
        <f aca="false">F24+F26</f>
        <v>152804.150601409</v>
      </c>
    </row>
    <row r="29" customFormat="false" ht="15" hidden="false" customHeight="true" outlineLevel="0" collapsed="false">
      <c r="A29" s="8" t="s">
        <v>143</v>
      </c>
      <c r="B29" s="9" t="n">
        <f aca="false">B27</f>
        <v>13122.0914492057</v>
      </c>
      <c r="C29" s="9" t="n">
        <f aca="false">C27</f>
        <v>42086.5525862058</v>
      </c>
      <c r="D29" s="9" t="n">
        <f aca="false">D27</f>
        <v>48705.8496888738</v>
      </c>
      <c r="E29" s="9" t="n">
        <f aca="false">E27</f>
        <v>51896.4852402638</v>
      </c>
      <c r="F29" s="9" t="n">
        <f aca="false">F27</f>
        <v>55192.6040523896</v>
      </c>
    </row>
    <row r="31" customFormat="false" ht="15" hidden="false" customHeight="true" outlineLevel="0" collapsed="false">
      <c r="A31" s="4" t="s">
        <v>144</v>
      </c>
      <c r="B31" s="4"/>
      <c r="C31" s="4"/>
      <c r="D31" s="4"/>
      <c r="E31" s="4"/>
      <c r="F31" s="4"/>
    </row>
    <row r="32" customFormat="false" ht="15" hidden="false" customHeight="true" outlineLevel="0" collapsed="false">
      <c r="A32" s="1" t="s">
        <v>145</v>
      </c>
      <c r="B32" s="5" t="n">
        <f aca="false">B28</f>
        <v>54639.6211939801</v>
      </c>
      <c r="C32" s="5" t="n">
        <f aca="false">B32+C28</f>
        <v>176862.98504096</v>
      </c>
      <c r="D32" s="5" t="n">
        <f aca="false">C32+D28</f>
        <v>314531.375460832</v>
      </c>
      <c r="E32" s="5" t="n">
        <f aca="false">D32+E28</f>
        <v>459644.582167281</v>
      </c>
      <c r="F32" s="5" t="n">
        <f aca="false">E32+F28</f>
        <v>612448.73276869</v>
      </c>
    </row>
    <row r="33" customFormat="false" ht="15" hidden="false" customHeight="true" outlineLevel="0" collapsed="false">
      <c r="A33" s="1" t="s">
        <v>146</v>
      </c>
      <c r="B33" s="10" t="n">
        <f aca="false">B32/B13</f>
        <v>0.181969755046737</v>
      </c>
      <c r="C33" s="10" t="n">
        <f aca="false">C32/B13</f>
        <v>0.589017884118935</v>
      </c>
      <c r="D33" s="10" t="n">
        <f aca="false">D32/B13</f>
        <v>1.04750355321693</v>
      </c>
      <c r="E33" s="10" t="n">
        <f aca="false">E32/B13</f>
        <v>1.53078316060426</v>
      </c>
      <c r="F33" s="10" t="n">
        <f aca="false">F32/B13</f>
        <v>2.03967640048138</v>
      </c>
    </row>
    <row r="34" customFormat="false" ht="15" hidden="false" customHeight="true" outlineLevel="0" collapsed="false">
      <c r="A34" s="1" t="s">
        <v>147</v>
      </c>
      <c r="B34" s="7" t="n">
        <f aca="false">B28/B13</f>
        <v>0.181969755046737</v>
      </c>
      <c r="C34" s="7" t="n">
        <f aca="false">C28/B13</f>
        <v>0.407048129072198</v>
      </c>
      <c r="D34" s="7" t="n">
        <f aca="false">D28/B13</f>
        <v>0.458485669097991</v>
      </c>
      <c r="E34" s="7" t="n">
        <f aca="false">E28/B13</f>
        <v>0.483279607387329</v>
      </c>
      <c r="F34" s="7" t="n">
        <f aca="false">F28/B13</f>
        <v>0.508893239877121</v>
      </c>
    </row>
    <row r="35" customFormat="false" ht="15" hidden="false" customHeight="true" outlineLevel="0" collapsed="false">
      <c r="A35" s="1" t="s">
        <v>148</v>
      </c>
      <c r="B35" s="7" t="n">
        <f aca="false">B29/B12</f>
        <v>0.101969755046737</v>
      </c>
      <c r="C35" s="7" t="n">
        <f aca="false">C29/B12</f>
        <v>0.327048129072198</v>
      </c>
      <c r="D35" s="7" t="n">
        <f aca="false">D29/B12</f>
        <v>0.378485669097991</v>
      </c>
      <c r="E35" s="7" t="n">
        <f aca="false">E29/B12</f>
        <v>0.403279607387329</v>
      </c>
      <c r="F35" s="7" t="n">
        <f aca="false">F29/B12</f>
        <v>0.428893239877121</v>
      </c>
    </row>
  </sheetData>
  <mergeCells count="5">
    <mergeCell ref="A1:F1"/>
    <mergeCell ref="A3:D3"/>
    <mergeCell ref="A16:D16"/>
    <mergeCell ref="A21:F21"/>
    <mergeCell ref="A31:F3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AE60"/>
    <pageSetUpPr fitToPage="false"/>
  </sheetPr>
  <dimension ref="A1:E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5"/>
    <col collapsed="false" customWidth="true" hidden="false" outlineLevel="0" max="2" min="2" style="1" width="20"/>
    <col collapsed="false" customWidth="true" hidden="false" outlineLevel="0" max="3" min="3" style="1" width="12"/>
    <col collapsed="false" customWidth="true" hidden="false" outlineLevel="0" max="4" min="4" style="1" width="14"/>
    <col collapsed="false" customWidth="true" hidden="false" outlineLevel="0" max="5" min="5" style="1" width="16"/>
  </cols>
  <sheetData>
    <row r="1" customFormat="false" ht="17.25" hidden="false" customHeight="true" outlineLevel="0" collapsed="false">
      <c r="A1" s="2" t="s">
        <v>149</v>
      </c>
      <c r="B1" s="2"/>
      <c r="C1" s="2"/>
      <c r="D1" s="2"/>
      <c r="E1" s="2"/>
    </row>
    <row r="3" customFormat="false" ht="15" hidden="false" customHeight="true" outlineLevel="0" collapsed="false">
      <c r="A3" s="3" t="s">
        <v>150</v>
      </c>
      <c r="B3" s="3" t="s">
        <v>151</v>
      </c>
      <c r="C3" s="3" t="s">
        <v>152</v>
      </c>
      <c r="D3" s="3" t="s">
        <v>153</v>
      </c>
      <c r="E3" s="3" t="s">
        <v>154</v>
      </c>
    </row>
    <row r="5" customFormat="false" ht="15" hidden="false" customHeight="true" outlineLevel="0" collapsed="false">
      <c r="A5" s="15" t="s">
        <v>155</v>
      </c>
      <c r="B5" s="15"/>
      <c r="C5" s="15"/>
      <c r="D5" s="15"/>
      <c r="E5" s="15"/>
    </row>
    <row r="6" customFormat="false" ht="15" hidden="false" customHeight="true" outlineLevel="0" collapsed="false">
      <c r="A6" s="1" t="s">
        <v>156</v>
      </c>
      <c r="C6" s="1" t="n">
        <v>12</v>
      </c>
      <c r="D6" s="5" t="n">
        <v>30000</v>
      </c>
      <c r="E6" s="5" t="n">
        <f aca="false">C6*D6</f>
        <v>360000</v>
      </c>
    </row>
    <row r="7" customFormat="false" ht="15" hidden="false" customHeight="true" outlineLevel="0" collapsed="false">
      <c r="A7" s="1" t="s">
        <v>157</v>
      </c>
      <c r="C7" s="1" t="n">
        <v>4</v>
      </c>
      <c r="D7" s="5" t="n">
        <v>60000</v>
      </c>
      <c r="E7" s="5" t="n">
        <f aca="false">C7*D7</f>
        <v>240000</v>
      </c>
    </row>
    <row r="8" customFormat="false" ht="15" hidden="false" customHeight="true" outlineLevel="0" collapsed="false">
      <c r="A8" s="1" t="s">
        <v>158</v>
      </c>
      <c r="C8" s="1" t="n">
        <v>2</v>
      </c>
      <c r="D8" s="5" t="n">
        <v>8000</v>
      </c>
      <c r="E8" s="5" t="n">
        <f aca="false">C8*D8</f>
        <v>16000</v>
      </c>
    </row>
    <row r="9" customFormat="false" ht="15" hidden="false" customHeight="true" outlineLevel="0" collapsed="false">
      <c r="A9" s="8" t="s">
        <v>159</v>
      </c>
      <c r="E9" s="9" t="n">
        <f aca="false">SUM(E6:E8)</f>
        <v>616000</v>
      </c>
    </row>
    <row r="11" customFormat="false" ht="15" hidden="false" customHeight="true" outlineLevel="0" collapsed="false">
      <c r="A11" s="15" t="s">
        <v>160</v>
      </c>
      <c r="B11" s="15"/>
      <c r="C11" s="15"/>
      <c r="D11" s="15"/>
      <c r="E11" s="15"/>
    </row>
    <row r="12" customFormat="false" ht="15" hidden="false" customHeight="true" outlineLevel="0" collapsed="false">
      <c r="A12" s="1" t="s">
        <v>161</v>
      </c>
      <c r="E12" s="5" t="n">
        <v>75000</v>
      </c>
    </row>
    <row r="13" customFormat="false" ht="15" hidden="false" customHeight="true" outlineLevel="0" collapsed="false">
      <c r="A13" s="1" t="s">
        <v>162</v>
      </c>
      <c r="E13" s="5" t="n">
        <v>40000</v>
      </c>
    </row>
    <row r="14" customFormat="false" ht="15" hidden="false" customHeight="true" outlineLevel="0" collapsed="false">
      <c r="A14" s="1" t="s">
        <v>163</v>
      </c>
      <c r="E14" s="5" t="n">
        <v>25000</v>
      </c>
    </row>
    <row r="15" customFormat="false" ht="15" hidden="false" customHeight="true" outlineLevel="0" collapsed="false">
      <c r="A15" s="1" t="s">
        <v>164</v>
      </c>
      <c r="E15" s="5" t="n">
        <v>115000</v>
      </c>
    </row>
    <row r="16" customFormat="false" ht="15" hidden="false" customHeight="true" outlineLevel="0" collapsed="false">
      <c r="A16" s="1" t="s">
        <v>165</v>
      </c>
      <c r="E16" s="5" t="n">
        <v>60000</v>
      </c>
    </row>
    <row r="17" customFormat="false" ht="15" hidden="false" customHeight="true" outlineLevel="0" collapsed="false">
      <c r="A17" s="8" t="s">
        <v>166</v>
      </c>
      <c r="E17" s="9" t="n">
        <f aca="false">SUM(E12:E16)</f>
        <v>315000</v>
      </c>
    </row>
    <row r="19" customFormat="false" ht="15" hidden="false" customHeight="true" outlineLevel="0" collapsed="false">
      <c r="A19" s="15" t="s">
        <v>167</v>
      </c>
      <c r="B19" s="15"/>
      <c r="C19" s="15"/>
      <c r="D19" s="15"/>
      <c r="E19" s="15"/>
    </row>
    <row r="20" customFormat="false" ht="15" hidden="false" customHeight="true" outlineLevel="0" collapsed="false">
      <c r="A20" s="1" t="s">
        <v>168</v>
      </c>
      <c r="E20" s="5" t="n">
        <v>120000</v>
      </c>
    </row>
    <row r="21" customFormat="false" ht="15" hidden="false" customHeight="true" outlineLevel="0" collapsed="false">
      <c r="A21" s="1" t="s">
        <v>169</v>
      </c>
      <c r="E21" s="5" t="n">
        <v>65000</v>
      </c>
    </row>
    <row r="22" customFormat="false" ht="15" hidden="false" customHeight="true" outlineLevel="0" collapsed="false">
      <c r="A22" s="1" t="s">
        <v>170</v>
      </c>
      <c r="E22" s="5" t="n">
        <v>55000</v>
      </c>
    </row>
    <row r="23" customFormat="false" ht="15" hidden="false" customHeight="true" outlineLevel="0" collapsed="false">
      <c r="A23" s="1" t="s">
        <v>171</v>
      </c>
      <c r="E23" s="5" t="n">
        <v>40000</v>
      </c>
    </row>
    <row r="24" customFormat="false" ht="15" hidden="false" customHeight="true" outlineLevel="0" collapsed="false">
      <c r="A24" s="1" t="s">
        <v>172</v>
      </c>
      <c r="E24" s="5" t="n">
        <v>15000</v>
      </c>
    </row>
    <row r="25" customFormat="false" ht="15" hidden="false" customHeight="true" outlineLevel="0" collapsed="false">
      <c r="A25" s="1" t="s">
        <v>173</v>
      </c>
      <c r="E25" s="5" t="n">
        <v>25000</v>
      </c>
    </row>
    <row r="26" customFormat="false" ht="15" hidden="false" customHeight="true" outlineLevel="0" collapsed="false">
      <c r="A26" s="8" t="s">
        <v>174</v>
      </c>
      <c r="E26" s="9" t="n">
        <f aca="false">SUM(E20:E25)</f>
        <v>320000</v>
      </c>
    </row>
    <row r="28" customFormat="false" ht="15" hidden="false" customHeight="true" outlineLevel="0" collapsed="false">
      <c r="A28" s="15" t="s">
        <v>175</v>
      </c>
      <c r="B28" s="15"/>
      <c r="C28" s="15"/>
      <c r="D28" s="15"/>
      <c r="E28" s="15"/>
    </row>
    <row r="29" customFormat="false" ht="15" hidden="false" customHeight="true" outlineLevel="0" collapsed="false">
      <c r="A29" s="1" t="s">
        <v>176</v>
      </c>
      <c r="E29" s="5" t="n">
        <v>45000</v>
      </c>
    </row>
    <row r="30" customFormat="false" ht="15" hidden="false" customHeight="true" outlineLevel="0" collapsed="false">
      <c r="A30" s="1" t="s">
        <v>177</v>
      </c>
      <c r="E30" s="5" t="n">
        <v>30000</v>
      </c>
    </row>
    <row r="31" customFormat="false" ht="15" hidden="false" customHeight="true" outlineLevel="0" collapsed="false">
      <c r="A31" s="1" t="s">
        <v>178</v>
      </c>
      <c r="E31" s="5" t="n">
        <v>15000</v>
      </c>
    </row>
    <row r="32" customFormat="false" ht="15" hidden="false" customHeight="true" outlineLevel="0" collapsed="false">
      <c r="A32" s="1" t="s">
        <v>179</v>
      </c>
      <c r="E32" s="5" t="n">
        <v>15000</v>
      </c>
    </row>
    <row r="33" customFormat="false" ht="15" hidden="false" customHeight="true" outlineLevel="0" collapsed="false">
      <c r="A33" s="8" t="s">
        <v>180</v>
      </c>
      <c r="E33" s="9" t="n">
        <f aca="false">SUM(E29:E32)</f>
        <v>105000</v>
      </c>
    </row>
    <row r="35" customFormat="false" ht="15" hidden="false" customHeight="true" outlineLevel="0" collapsed="false">
      <c r="A35" s="8" t="s">
        <v>181</v>
      </c>
      <c r="E35" s="9" t="n">
        <f aca="false">E9+E17+E26+E33</f>
        <v>1356000</v>
      </c>
    </row>
    <row r="37" customFormat="false" ht="15" hidden="false" customHeight="true" outlineLevel="0" collapsed="false">
      <c r="A37" s="15" t="s">
        <v>182</v>
      </c>
      <c r="B37" s="15"/>
      <c r="C37" s="15"/>
      <c r="D37" s="15"/>
      <c r="E37" s="15"/>
    </row>
    <row r="38" customFormat="false" ht="15" hidden="false" customHeight="true" outlineLevel="0" collapsed="false">
      <c r="A38" s="1" t="s">
        <v>183</v>
      </c>
      <c r="E38" s="5" t="n">
        <f aca="false">E35*0.08</f>
        <v>108480</v>
      </c>
    </row>
    <row r="39" customFormat="false" ht="15" hidden="false" customHeight="true" outlineLevel="0" collapsed="false">
      <c r="A39" s="1" t="s">
        <v>184</v>
      </c>
      <c r="E39" s="5" t="n">
        <v>15000</v>
      </c>
    </row>
    <row r="40" customFormat="false" ht="15" hidden="false" customHeight="true" outlineLevel="0" collapsed="false">
      <c r="A40" s="1" t="s">
        <v>185</v>
      </c>
      <c r="E40" s="5" t="n">
        <v>10000</v>
      </c>
    </row>
    <row r="41" customFormat="false" ht="15" hidden="false" customHeight="true" outlineLevel="0" collapsed="false">
      <c r="A41" s="8" t="s">
        <v>186</v>
      </c>
      <c r="E41" s="9" t="n">
        <f aca="false">SUM(E38:E40)</f>
        <v>133480</v>
      </c>
    </row>
    <row r="43" customFormat="false" ht="15" hidden="false" customHeight="true" outlineLevel="0" collapsed="false">
      <c r="A43" s="1" t="s">
        <v>187</v>
      </c>
      <c r="E43" s="5" t="n">
        <f aca="false">E35*0.1</f>
        <v>135600</v>
      </c>
    </row>
    <row r="45" customFormat="false" ht="15" hidden="false" customHeight="true" outlineLevel="0" collapsed="false">
      <c r="A45" s="3" t="s">
        <v>188</v>
      </c>
      <c r="E45" s="17" t="n">
        <f aca="false">E35+E41+E43</f>
        <v>1625080</v>
      </c>
    </row>
    <row r="46" customFormat="false" ht="15" hidden="false" customHeight="true" outlineLevel="0" collapsed="false">
      <c r="A46" s="1" t="s">
        <v>189</v>
      </c>
      <c r="E46" s="5" t="n">
        <f aca="false">E45/'Operating Model'!B8</f>
        <v>101567.5</v>
      </c>
    </row>
  </sheetData>
  <mergeCells count="6">
    <mergeCell ref="A1:E1"/>
    <mergeCell ref="A5:E5"/>
    <mergeCell ref="A11:E11"/>
    <mergeCell ref="A19:E19"/>
    <mergeCell ref="A28:E28"/>
    <mergeCell ref="A37:E3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86C1"/>
    <pageSetUpPr fitToPage="false"/>
  </sheetPr>
  <dimension ref="A1:N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5"/>
    <col collapsed="false" customWidth="true" hidden="false" outlineLevel="0" max="14" min="2" style="1" width="14"/>
  </cols>
  <sheetData>
    <row r="1" customFormat="false" ht="17.25" hidden="false" customHeight="true" outlineLevel="0" collapsed="false">
      <c r="A1" s="2" t="s">
        <v>190</v>
      </c>
      <c r="B1" s="2"/>
      <c r="C1" s="2"/>
      <c r="D1" s="2"/>
      <c r="E1" s="2"/>
      <c r="F1" s="2"/>
      <c r="G1" s="2"/>
      <c r="H1" s="2"/>
      <c r="I1" s="2"/>
      <c r="J1" s="2"/>
      <c r="K1" s="2"/>
      <c r="L1" s="2"/>
      <c r="M1" s="2"/>
      <c r="N1" s="2"/>
    </row>
    <row r="3" customFormat="false" ht="15" hidden="false" customHeight="true" outlineLevel="0" collapsed="false">
      <c r="A3" s="4" t="s">
        <v>191</v>
      </c>
      <c r="B3" s="4"/>
    </row>
    <row r="5" customFormat="false" ht="15" hidden="false" customHeight="true" outlineLevel="0" collapsed="false">
      <c r="A5" s="1" t="s">
        <v>1</v>
      </c>
      <c r="B5" s="1" t="s">
        <v>192</v>
      </c>
    </row>
    <row r="6" customFormat="false" ht="15" hidden="false" customHeight="true" outlineLevel="0" collapsed="false">
      <c r="A6" s="1" t="s">
        <v>193</v>
      </c>
      <c r="B6" s="1" t="n">
        <v>12</v>
      </c>
    </row>
    <row r="7" customFormat="false" ht="15" hidden="false" customHeight="true" outlineLevel="0" collapsed="false">
      <c r="A7" s="1" t="s">
        <v>194</v>
      </c>
      <c r="B7" s="1" t="n">
        <v>4</v>
      </c>
    </row>
    <row r="8" customFormat="false" ht="15" hidden="false" customHeight="true" outlineLevel="0" collapsed="false">
      <c r="A8" s="1" t="s">
        <v>195</v>
      </c>
      <c r="B8" s="1" t="n">
        <f aca="false">B6+B7</f>
        <v>16</v>
      </c>
    </row>
    <row r="9" customFormat="false" ht="15" hidden="false" customHeight="true" outlineLevel="0" collapsed="false">
      <c r="A9" s="1" t="s">
        <v>196</v>
      </c>
      <c r="B9" s="1" t="n">
        <v>12000</v>
      </c>
    </row>
    <row r="11" customFormat="false" ht="15" hidden="false" customHeight="true" outlineLevel="0" collapsed="false">
      <c r="A11" s="15" t="s">
        <v>197</v>
      </c>
      <c r="B11" s="15"/>
    </row>
    <row r="12" customFormat="false" ht="15" hidden="false" customHeight="true" outlineLevel="0" collapsed="false">
      <c r="A12" s="1" t="s">
        <v>198</v>
      </c>
      <c r="B12" s="5" t="n">
        <v>139</v>
      </c>
    </row>
    <row r="13" customFormat="false" ht="15" hidden="false" customHeight="true" outlineLevel="0" collapsed="false">
      <c r="A13" s="1" t="s">
        <v>199</v>
      </c>
      <c r="B13" s="5" t="n">
        <v>189</v>
      </c>
    </row>
    <row r="14" customFormat="false" ht="15" hidden="false" customHeight="true" outlineLevel="0" collapsed="false">
      <c r="A14" s="1" t="s">
        <v>200</v>
      </c>
      <c r="B14" s="7" t="n">
        <v>0.15</v>
      </c>
    </row>
    <row r="15" customFormat="false" ht="15" hidden="false" customHeight="true" outlineLevel="0" collapsed="false">
      <c r="A15" s="1" t="s">
        <v>201</v>
      </c>
      <c r="B15" s="7" t="n">
        <v>0.35</v>
      </c>
    </row>
    <row r="16" customFormat="false" ht="15" hidden="false" customHeight="true" outlineLevel="0" collapsed="false">
      <c r="A16" s="1" t="s">
        <v>202</v>
      </c>
      <c r="B16" s="7" t="n">
        <v>0.25</v>
      </c>
    </row>
    <row r="17" customFormat="false" ht="15" hidden="false" customHeight="true" outlineLevel="0" collapsed="false">
      <c r="A17" s="1" t="s">
        <v>203</v>
      </c>
      <c r="B17" s="7" t="n">
        <v>0.25</v>
      </c>
    </row>
    <row r="18" customFormat="false" ht="15" hidden="false" customHeight="true" outlineLevel="0" collapsed="false">
      <c r="A18" s="1" t="s">
        <v>204</v>
      </c>
      <c r="B18" s="7" t="n">
        <f aca="false">1-B16-B17</f>
        <v>0.5</v>
      </c>
    </row>
    <row r="19" customFormat="false" ht="15" hidden="false" customHeight="true" outlineLevel="0" collapsed="false">
      <c r="A19" s="1" t="s">
        <v>205</v>
      </c>
      <c r="B19" s="5" t="n">
        <f aca="false">B12*(B16*1+B17*(1-B14)+B18*(1-B15))</f>
        <v>109.4625</v>
      </c>
    </row>
    <row r="20" customFormat="false" ht="15" hidden="false" customHeight="true" outlineLevel="0" collapsed="false">
      <c r="A20" s="1" t="s">
        <v>206</v>
      </c>
      <c r="B20" s="5" t="n">
        <f aca="false">B13*(B16*1+B17*(1-B14)+B18*(1-B15))</f>
        <v>148.8375</v>
      </c>
    </row>
    <row r="22" customFormat="false" ht="15" hidden="false" customHeight="true" outlineLevel="0" collapsed="false">
      <c r="A22" s="15" t="s">
        <v>207</v>
      </c>
      <c r="B22" s="15"/>
    </row>
    <row r="23" customFormat="false" ht="15" hidden="false" customHeight="true" outlineLevel="0" collapsed="false">
      <c r="A23" s="1" t="s">
        <v>208</v>
      </c>
      <c r="B23" s="7" t="n">
        <v>0.6</v>
      </c>
    </row>
    <row r="24" customFormat="false" ht="15" hidden="false" customHeight="true" outlineLevel="0" collapsed="false">
      <c r="A24" s="1" t="s">
        <v>209</v>
      </c>
      <c r="B24" s="7" t="n">
        <v>0.75</v>
      </c>
    </row>
    <row r="25" customFormat="false" ht="15" hidden="false" customHeight="true" outlineLevel="0" collapsed="false">
      <c r="A25" s="1" t="s">
        <v>210</v>
      </c>
      <c r="B25" s="7" t="n">
        <v>0.85</v>
      </c>
    </row>
    <row r="26" customFormat="false" ht="15" hidden="false" customHeight="true" outlineLevel="0" collapsed="false">
      <c r="A26" s="1" t="s">
        <v>24</v>
      </c>
      <c r="B26" s="7" t="n">
        <v>0.9</v>
      </c>
    </row>
    <row r="27" customFormat="false" ht="15" hidden="false" customHeight="true" outlineLevel="0" collapsed="false">
      <c r="A27" s="1" t="s">
        <v>211</v>
      </c>
      <c r="B27" s="7" t="n">
        <v>0.92</v>
      </c>
    </row>
    <row r="28" customFormat="false" ht="15" hidden="false" customHeight="true" outlineLevel="0" collapsed="false">
      <c r="A28" s="1" t="s">
        <v>212</v>
      </c>
      <c r="B28" s="7" t="n">
        <f aca="false">(B23*3+B24*3+B25*6)/12</f>
        <v>0.7625</v>
      </c>
    </row>
    <row r="30" customFormat="false" ht="15" hidden="false" customHeight="true" outlineLevel="0" collapsed="false">
      <c r="A30" s="15" t="s">
        <v>213</v>
      </c>
      <c r="B30" s="15"/>
    </row>
    <row r="31" customFormat="false" ht="15" hidden="false" customHeight="true" outlineLevel="0" collapsed="false">
      <c r="A31" s="1" t="s">
        <v>214</v>
      </c>
      <c r="B31" s="7" t="n">
        <v>0.03</v>
      </c>
    </row>
    <row r="32" customFormat="false" ht="15" hidden="false" customHeight="true" outlineLevel="0" collapsed="false">
      <c r="A32" s="1" t="s">
        <v>215</v>
      </c>
      <c r="B32" s="7" t="n">
        <v>0.025</v>
      </c>
    </row>
    <row r="33" customFormat="false" ht="15" hidden="false" customHeight="true" outlineLevel="0" collapsed="false">
      <c r="A33" s="1" t="s">
        <v>216</v>
      </c>
      <c r="B33" s="7" t="n">
        <v>0.02</v>
      </c>
    </row>
    <row r="35" customFormat="false" ht="15" hidden="false" customHeight="true" outlineLevel="0" collapsed="false">
      <c r="A35" s="15" t="s">
        <v>217</v>
      </c>
      <c r="B35" s="15"/>
    </row>
    <row r="36" customFormat="false" ht="15" hidden="false" customHeight="true" outlineLevel="0" collapsed="false">
      <c r="A36" s="1" t="s">
        <v>218</v>
      </c>
      <c r="B36" s="5" t="n">
        <v>150</v>
      </c>
    </row>
    <row r="37" customFormat="false" ht="15" hidden="false" customHeight="true" outlineLevel="0" collapsed="false">
      <c r="A37" s="1" t="s">
        <v>219</v>
      </c>
      <c r="B37" s="5" t="n">
        <v>75</v>
      </c>
    </row>
    <row r="38" customFormat="false" ht="15" hidden="false" customHeight="true" outlineLevel="0" collapsed="false">
      <c r="A38" s="1" t="s">
        <v>220</v>
      </c>
      <c r="B38" s="5" t="n">
        <v>100</v>
      </c>
    </row>
    <row r="39" customFormat="false" ht="15" hidden="false" customHeight="true" outlineLevel="0" collapsed="false">
      <c r="A39" s="1" t="s">
        <v>221</v>
      </c>
      <c r="B39" s="5" t="n">
        <v>300</v>
      </c>
    </row>
    <row r="40" customFormat="false" ht="15" hidden="false" customHeight="true" outlineLevel="0" collapsed="false">
      <c r="A40" s="1" t="s">
        <v>222</v>
      </c>
      <c r="B40" s="5" t="n">
        <v>50</v>
      </c>
    </row>
    <row r="41" customFormat="false" ht="15" hidden="false" customHeight="true" outlineLevel="0" collapsed="false">
      <c r="A41" s="1" t="s">
        <v>223</v>
      </c>
      <c r="B41" s="5" t="n">
        <v>40</v>
      </c>
    </row>
    <row r="42" customFormat="false" ht="15" hidden="false" customHeight="true" outlineLevel="0" collapsed="false">
      <c r="A42" s="1" t="s">
        <v>224</v>
      </c>
      <c r="B42" s="5" t="n">
        <f aca="false">SUM(B36:B41)</f>
        <v>715</v>
      </c>
    </row>
    <row r="44" customFormat="false" ht="15" hidden="false" customHeight="true" outlineLevel="0" collapsed="false">
      <c r="A44" s="15" t="s">
        <v>225</v>
      </c>
      <c r="B44" s="15"/>
    </row>
    <row r="45" customFormat="false" ht="15" hidden="false" customHeight="true" outlineLevel="0" collapsed="false">
      <c r="A45" s="1" t="s">
        <v>226</v>
      </c>
      <c r="B45" s="7" t="n">
        <v>0.08</v>
      </c>
    </row>
    <row r="46" customFormat="false" ht="15" hidden="false" customHeight="true" outlineLevel="0" collapsed="false">
      <c r="A46" s="1" t="s">
        <v>227</v>
      </c>
      <c r="B46" s="7" t="n">
        <v>0.05</v>
      </c>
    </row>
    <row r="47" customFormat="false" ht="15" hidden="false" customHeight="true" outlineLevel="0" collapsed="false">
      <c r="A47" s="1" t="s">
        <v>228</v>
      </c>
      <c r="B47" s="7" t="n">
        <v>0.05</v>
      </c>
    </row>
    <row r="49" customFormat="false" ht="15" hidden="false" customHeight="true" outlineLevel="0" collapsed="false">
      <c r="A49" s="15" t="s">
        <v>229</v>
      </c>
      <c r="B49" s="15"/>
    </row>
    <row r="50" customFormat="false" ht="15" hidden="false" customHeight="true" outlineLevel="0" collapsed="false">
      <c r="A50" s="1" t="s">
        <v>230</v>
      </c>
      <c r="B50" s="5" t="n">
        <v>3200</v>
      </c>
    </row>
    <row r="51" customFormat="false" ht="15" hidden="false" customHeight="true" outlineLevel="0" collapsed="false">
      <c r="A51" s="1" t="s">
        <v>231</v>
      </c>
      <c r="B51" s="5" t="n">
        <v>65</v>
      </c>
    </row>
    <row r="52" customFormat="false" ht="15" hidden="false" customHeight="true" outlineLevel="0" collapsed="false">
      <c r="A52" s="1" t="s">
        <v>232</v>
      </c>
      <c r="B52" s="1" t="n">
        <v>1.79</v>
      </c>
    </row>
    <row r="53" customFormat="false" ht="15" hidden="false" customHeight="true" outlineLevel="0" collapsed="false">
      <c r="A53" s="1" t="s">
        <v>233</v>
      </c>
      <c r="B53" s="5" t="n">
        <f aca="false">B51*B52*B8</f>
        <v>1861.6</v>
      </c>
    </row>
    <row r="54" customFormat="false" ht="15" hidden="false" customHeight="true" outlineLevel="0" collapsed="false">
      <c r="A54" s="1" t="s">
        <v>234</v>
      </c>
      <c r="B54" s="5" t="n">
        <v>2000</v>
      </c>
    </row>
    <row r="55" customFormat="false" ht="15" hidden="false" customHeight="true" outlineLevel="0" collapsed="false">
      <c r="A55" s="1" t="s">
        <v>235</v>
      </c>
      <c r="B55" s="5" t="n">
        <v>1200</v>
      </c>
    </row>
    <row r="56" customFormat="false" ht="15" hidden="false" customHeight="true" outlineLevel="0" collapsed="false">
      <c r="A56" s="1" t="s">
        <v>236</v>
      </c>
      <c r="B56" s="5" t="n">
        <v>4931</v>
      </c>
    </row>
    <row r="57" customFormat="false" ht="15" hidden="false" customHeight="true" outlineLevel="0" collapsed="false">
      <c r="A57" s="1" t="s">
        <v>237</v>
      </c>
      <c r="B57" s="5" t="n">
        <v>500</v>
      </c>
    </row>
    <row r="58" customFormat="false" ht="15" hidden="false" customHeight="true" outlineLevel="0" collapsed="false">
      <c r="A58" s="1" t="s">
        <v>238</v>
      </c>
      <c r="B58" s="5" t="n">
        <v>300</v>
      </c>
    </row>
    <row r="59" customFormat="false" ht="15" hidden="false" customHeight="true" outlineLevel="0" collapsed="false">
      <c r="A59" s="1" t="s">
        <v>239</v>
      </c>
      <c r="B59" s="5" t="n">
        <v>50</v>
      </c>
    </row>
    <row r="60" customFormat="false" ht="15" hidden="false" customHeight="true" outlineLevel="0" collapsed="false">
      <c r="A60" s="1" t="s">
        <v>240</v>
      </c>
      <c r="B60" s="5" t="n">
        <v>200</v>
      </c>
    </row>
    <row r="62" customFormat="false" ht="15" hidden="false" customHeight="true" outlineLevel="0" collapsed="false">
      <c r="A62" s="15" t="s">
        <v>241</v>
      </c>
      <c r="B62" s="15"/>
    </row>
    <row r="63" customFormat="false" ht="15" hidden="false" customHeight="true" outlineLevel="0" collapsed="false">
      <c r="A63" s="1" t="s">
        <v>242</v>
      </c>
      <c r="B63" s="7" t="n">
        <v>0.075</v>
      </c>
    </row>
    <row r="64" customFormat="false" ht="15" hidden="false" customHeight="true" outlineLevel="0" collapsed="false">
      <c r="A64" s="1" t="s">
        <v>243</v>
      </c>
      <c r="B64" s="1" t="n">
        <v>20</v>
      </c>
    </row>
    <row r="65" customFormat="false" ht="15" hidden="false" customHeight="true" outlineLevel="0" collapsed="false">
      <c r="A65" s="1" t="s">
        <v>244</v>
      </c>
      <c r="B65" s="1" t="n">
        <v>5</v>
      </c>
    </row>
    <row r="66" customFormat="false" ht="15" hidden="false" customHeight="true" outlineLevel="0" collapsed="false">
      <c r="A66" s="1" t="s">
        <v>245</v>
      </c>
      <c r="B66" s="7" t="n">
        <v>0.75</v>
      </c>
    </row>
    <row r="67" customFormat="false" ht="15" hidden="false" customHeight="true" outlineLevel="0" collapsed="false">
      <c r="A67" s="1" t="s">
        <v>246</v>
      </c>
      <c r="B67" s="7" t="n">
        <v>0.3</v>
      </c>
    </row>
    <row r="68" customFormat="false" ht="15" hidden="false" customHeight="true" outlineLevel="0" collapsed="false">
      <c r="A68" s="1" t="s">
        <v>247</v>
      </c>
      <c r="B68" s="7" t="n">
        <f aca="false">1-B67</f>
        <v>0.7</v>
      </c>
    </row>
    <row r="69" customFormat="false" ht="15" hidden="false" customHeight="true" outlineLevel="0" collapsed="false">
      <c r="A69" s="1" t="s">
        <v>248</v>
      </c>
      <c r="B69" s="7" t="n">
        <v>0.08</v>
      </c>
    </row>
    <row r="72" customFormat="false" ht="15" hidden="false" customHeight="true" outlineLevel="0" collapsed="false">
      <c r="A72" s="4" t="s">
        <v>249</v>
      </c>
      <c r="B72" s="4"/>
      <c r="C72" s="4"/>
      <c r="D72" s="4"/>
      <c r="E72" s="4"/>
      <c r="F72" s="4"/>
      <c r="G72" s="4"/>
      <c r="H72" s="4"/>
      <c r="I72" s="4"/>
      <c r="J72" s="4"/>
      <c r="K72" s="4"/>
      <c r="L72" s="4"/>
      <c r="M72" s="4"/>
      <c r="N72" s="4"/>
    </row>
    <row r="73" customFormat="false" ht="15" hidden="false" customHeight="true" outlineLevel="0" collapsed="false">
      <c r="B73" s="3" t="s">
        <v>250</v>
      </c>
      <c r="C73" s="3" t="s">
        <v>251</v>
      </c>
      <c r="D73" s="3" t="s">
        <v>252</v>
      </c>
      <c r="E73" s="3" t="s">
        <v>253</v>
      </c>
      <c r="F73" s="3" t="s">
        <v>254</v>
      </c>
      <c r="G73" s="3" t="s">
        <v>255</v>
      </c>
      <c r="H73" s="3" t="s">
        <v>256</v>
      </c>
      <c r="I73" s="3" t="s">
        <v>257</v>
      </c>
      <c r="J73" s="3" t="s">
        <v>258</v>
      </c>
      <c r="K73" s="3" t="s">
        <v>259</v>
      </c>
      <c r="L73" s="3" t="s">
        <v>260</v>
      </c>
      <c r="M73" s="3" t="s">
        <v>261</v>
      </c>
      <c r="N73" s="3" t="s">
        <v>262</v>
      </c>
    </row>
    <row r="74" customFormat="false" ht="15" hidden="false" customHeight="true" outlineLevel="0" collapsed="false">
      <c r="A74" s="1" t="s">
        <v>263</v>
      </c>
      <c r="B74" s="7" t="n">
        <f aca="false">B23</f>
        <v>0.6</v>
      </c>
      <c r="C74" s="7" t="n">
        <f aca="false">B23</f>
        <v>0.6</v>
      </c>
      <c r="D74" s="7" t="n">
        <f aca="false">B23</f>
        <v>0.6</v>
      </c>
      <c r="E74" s="7" t="n">
        <f aca="false">B24</f>
        <v>0.75</v>
      </c>
      <c r="F74" s="7" t="n">
        <f aca="false">B24</f>
        <v>0.75</v>
      </c>
      <c r="G74" s="7" t="n">
        <f aca="false">B24</f>
        <v>0.75</v>
      </c>
      <c r="H74" s="7" t="n">
        <f aca="false">B25</f>
        <v>0.85</v>
      </c>
      <c r="I74" s="7" t="n">
        <f aca="false">B25</f>
        <v>0.85</v>
      </c>
      <c r="J74" s="7" t="n">
        <f aca="false">B25</f>
        <v>0.85</v>
      </c>
      <c r="K74" s="7" t="n">
        <f aca="false">B25</f>
        <v>0.85</v>
      </c>
      <c r="L74" s="7" t="n">
        <f aca="false">B25</f>
        <v>0.85</v>
      </c>
      <c r="M74" s="7" t="n">
        <f aca="false">B25</f>
        <v>0.85</v>
      </c>
      <c r="N74" s="7" t="n">
        <f aca="false">B28</f>
        <v>0.7625</v>
      </c>
    </row>
    <row r="75" customFormat="false" ht="15" hidden="false" customHeight="true" outlineLevel="0" collapsed="false">
      <c r="A75" s="1" t="s">
        <v>264</v>
      </c>
      <c r="B75" s="5" t="n">
        <f aca="false">B6*B19*30*B74</f>
        <v>23643.9</v>
      </c>
      <c r="C75" s="5" t="n">
        <f aca="false">B6*B19*30*C74</f>
        <v>23643.9</v>
      </c>
      <c r="D75" s="5" t="n">
        <f aca="false">B6*B19*30*D74</f>
        <v>23643.9</v>
      </c>
      <c r="E75" s="5" t="n">
        <f aca="false">B6*B19*30*E74</f>
        <v>29554.875</v>
      </c>
      <c r="F75" s="5" t="n">
        <f aca="false">B6*B19*30*F74</f>
        <v>29554.875</v>
      </c>
      <c r="G75" s="5" t="n">
        <f aca="false">B6*B19*30*G74</f>
        <v>29554.875</v>
      </c>
      <c r="H75" s="5" t="n">
        <f aca="false">B6*B19*30*H74</f>
        <v>33495.525</v>
      </c>
      <c r="I75" s="5" t="n">
        <f aca="false">B6*B19*30*I74</f>
        <v>33495.525</v>
      </c>
      <c r="J75" s="5" t="n">
        <f aca="false">B6*B19*30*J74</f>
        <v>33495.525</v>
      </c>
      <c r="K75" s="5" t="n">
        <f aca="false">B6*B19*30*K74</f>
        <v>33495.525</v>
      </c>
      <c r="L75" s="5" t="n">
        <f aca="false">B6*B19*30*L74</f>
        <v>33495.525</v>
      </c>
      <c r="M75" s="5" t="n">
        <f aca="false">B6*B19*30*M74</f>
        <v>33495.525</v>
      </c>
      <c r="N75" s="5" t="n">
        <f aca="false">SUM(B75:M75)</f>
        <v>360569.475</v>
      </c>
    </row>
    <row r="76" customFormat="false" ht="15" hidden="false" customHeight="true" outlineLevel="0" collapsed="false">
      <c r="A76" s="1" t="s">
        <v>265</v>
      </c>
      <c r="B76" s="5" t="n">
        <f aca="false">B7*B20*30*B74</f>
        <v>10716.3</v>
      </c>
      <c r="C76" s="5" t="n">
        <f aca="false">B7*B20*30*C74</f>
        <v>10716.3</v>
      </c>
      <c r="D76" s="5" t="n">
        <f aca="false">B7*B20*30*D74</f>
        <v>10716.3</v>
      </c>
      <c r="E76" s="5" t="n">
        <f aca="false">B7*B20*30*E74</f>
        <v>13395.375</v>
      </c>
      <c r="F76" s="5" t="n">
        <f aca="false">B7*B20*30*F74</f>
        <v>13395.375</v>
      </c>
      <c r="G76" s="5" t="n">
        <f aca="false">B7*B20*30*G74</f>
        <v>13395.375</v>
      </c>
      <c r="H76" s="5" t="n">
        <f aca="false">B7*B20*30*H74</f>
        <v>15181.425</v>
      </c>
      <c r="I76" s="5" t="n">
        <f aca="false">B7*B20*30*I74</f>
        <v>15181.425</v>
      </c>
      <c r="J76" s="5" t="n">
        <f aca="false">B7*B20*30*J74</f>
        <v>15181.425</v>
      </c>
      <c r="K76" s="5" t="n">
        <f aca="false">B7*B20*30*K74</f>
        <v>15181.425</v>
      </c>
      <c r="L76" s="5" t="n">
        <f aca="false">B7*B20*30*L74</f>
        <v>15181.425</v>
      </c>
      <c r="M76" s="5" t="n">
        <f aca="false">B7*B20*30*M74</f>
        <v>15181.425</v>
      </c>
      <c r="N76" s="5" t="n">
        <f aca="false">SUM(B76:M76)</f>
        <v>163423.575</v>
      </c>
    </row>
    <row r="77" customFormat="false" ht="15" hidden="false" customHeight="true" outlineLevel="0" collapsed="false">
      <c r="A77" s="1" t="s">
        <v>266</v>
      </c>
      <c r="B77" s="5" t="n">
        <f aca="false">B8*B59+B60</f>
        <v>1000</v>
      </c>
      <c r="C77" s="5" t="n">
        <f aca="false">B8*B59+B60</f>
        <v>1000</v>
      </c>
      <c r="D77" s="5" t="n">
        <f aca="false">B8*B59+B60</f>
        <v>1000</v>
      </c>
      <c r="E77" s="5" t="n">
        <f aca="false">B8*B59+B60</f>
        <v>1000</v>
      </c>
      <c r="F77" s="5" t="n">
        <f aca="false">B8*B59+B60</f>
        <v>1000</v>
      </c>
      <c r="G77" s="5" t="n">
        <f aca="false">B8*B59+B60</f>
        <v>1000</v>
      </c>
      <c r="H77" s="5" t="n">
        <f aca="false">B8*B59+B60</f>
        <v>1000</v>
      </c>
      <c r="I77" s="5" t="n">
        <f aca="false">B8*B59+B60</f>
        <v>1000</v>
      </c>
      <c r="J77" s="5" t="n">
        <f aca="false">B8*B59+B60</f>
        <v>1000</v>
      </c>
      <c r="K77" s="5" t="n">
        <f aca="false">B8*B59+B60</f>
        <v>1000</v>
      </c>
      <c r="L77" s="5" t="n">
        <f aca="false">B8*B59+B60</f>
        <v>1000</v>
      </c>
      <c r="M77" s="5" t="n">
        <f aca="false">B8*B59+B60</f>
        <v>1000</v>
      </c>
      <c r="N77" s="5" t="n">
        <f aca="false">SUM(B77:M77)</f>
        <v>12000</v>
      </c>
    </row>
    <row r="78" customFormat="false" ht="15" hidden="false" customHeight="true" outlineLevel="0" collapsed="false">
      <c r="A78" s="8" t="s">
        <v>267</v>
      </c>
      <c r="B78" s="9" t="n">
        <f aca="false">SUM(B75:B77)</f>
        <v>35360.2</v>
      </c>
      <c r="C78" s="9" t="n">
        <f aca="false">SUM(C75:C77)</f>
        <v>35360.2</v>
      </c>
      <c r="D78" s="9" t="n">
        <f aca="false">SUM(D75:D77)</f>
        <v>35360.2</v>
      </c>
      <c r="E78" s="9" t="n">
        <f aca="false">SUM(E75:E77)</f>
        <v>43950.25</v>
      </c>
      <c r="F78" s="9" t="n">
        <f aca="false">SUM(F75:F77)</f>
        <v>43950.25</v>
      </c>
      <c r="G78" s="9" t="n">
        <f aca="false">SUM(G75:G77)</f>
        <v>43950.25</v>
      </c>
      <c r="H78" s="9" t="n">
        <f aca="false">SUM(H75:H77)</f>
        <v>49676.95</v>
      </c>
      <c r="I78" s="9" t="n">
        <f aca="false">SUM(I75:I77)</f>
        <v>49676.95</v>
      </c>
      <c r="J78" s="9" t="n">
        <f aca="false">SUM(J75:J77)</f>
        <v>49676.95</v>
      </c>
      <c r="K78" s="9" t="n">
        <f aca="false">SUM(K75:K77)</f>
        <v>49676.95</v>
      </c>
      <c r="L78" s="9" t="n">
        <f aca="false">SUM(L75:L77)</f>
        <v>49676.95</v>
      </c>
      <c r="M78" s="9" t="n">
        <f aca="false">SUM(M75:M77)</f>
        <v>49676.95</v>
      </c>
      <c r="N78" s="9" t="n">
        <f aca="false">SUM(B78:M78)</f>
        <v>535993.05</v>
      </c>
    </row>
    <row r="80" customFormat="false" ht="15" hidden="false" customHeight="true" outlineLevel="0" collapsed="false">
      <c r="A80" s="15" t="s">
        <v>268</v>
      </c>
      <c r="B80" s="15"/>
      <c r="C80" s="15"/>
      <c r="D80" s="15"/>
      <c r="E80" s="15"/>
      <c r="F80" s="15"/>
    </row>
    <row r="81" customFormat="false" ht="15" hidden="false" customHeight="true" outlineLevel="0" collapsed="false">
      <c r="B81" s="3" t="s">
        <v>23</v>
      </c>
      <c r="C81" s="3" t="s">
        <v>24</v>
      </c>
      <c r="D81" s="3" t="s">
        <v>25</v>
      </c>
      <c r="E81" s="3" t="s">
        <v>26</v>
      </c>
      <c r="F81" s="3" t="s">
        <v>27</v>
      </c>
    </row>
    <row r="82" customFormat="false" ht="15" hidden="false" customHeight="true" outlineLevel="0" collapsed="false">
      <c r="A82" s="1" t="s">
        <v>269</v>
      </c>
      <c r="B82" s="7" t="n">
        <f aca="false">B28</f>
        <v>0.7625</v>
      </c>
      <c r="C82" s="7" t="n">
        <f aca="false">B26</f>
        <v>0.9</v>
      </c>
      <c r="D82" s="7" t="n">
        <f aca="false">B27</f>
        <v>0.92</v>
      </c>
      <c r="E82" s="7" t="n">
        <f aca="false">B27</f>
        <v>0.92</v>
      </c>
      <c r="F82" s="7" t="n">
        <f aca="false">B27</f>
        <v>0.92</v>
      </c>
    </row>
    <row r="83" customFormat="false" ht="15" hidden="false" customHeight="true" outlineLevel="0" collapsed="false">
      <c r="A83" s="1" t="s">
        <v>264</v>
      </c>
      <c r="B83" s="5" t="n">
        <f aca="false">N75</f>
        <v>360569.475</v>
      </c>
      <c r="C83" s="5" t="n">
        <f aca="false">B6*B19*365*C82*(1+B31)^1</f>
        <v>444446.21025</v>
      </c>
      <c r="D83" s="5" t="n">
        <f aca="false">B6*B19*365*D82*(1+B31)^2</f>
        <v>467952.476481</v>
      </c>
      <c r="E83" s="5" t="n">
        <f aca="false">B6*B19*365*E82*(1+B31)^3</f>
        <v>481991.05077543</v>
      </c>
      <c r="F83" s="5" t="n">
        <f aca="false">B6*B19*365*F82*(1+B31)^4</f>
        <v>496450.782298693</v>
      </c>
    </row>
    <row r="84" customFormat="false" ht="15" hidden="false" customHeight="true" outlineLevel="0" collapsed="false">
      <c r="A84" s="1" t="s">
        <v>265</v>
      </c>
      <c r="B84" s="5" t="n">
        <f aca="false">N76</f>
        <v>163423.575</v>
      </c>
      <c r="C84" s="5" t="n">
        <f aca="false">B7*B20*365*C82*(1+B31)^1</f>
        <v>201439.64925</v>
      </c>
      <c r="D84" s="5" t="n">
        <f aca="false">B7*B20*365*D82*(1+B31)^2</f>
        <v>212093.568477</v>
      </c>
      <c r="E84" s="5" t="n">
        <f aca="false">B7*B20*365*E82*(1+B31)^3</f>
        <v>218456.37553131</v>
      </c>
      <c r="F84" s="5" t="n">
        <f aca="false">B7*B20*365*F82*(1+B31)^4</f>
        <v>225010.066797249</v>
      </c>
    </row>
    <row r="85" customFormat="false" ht="15" hidden="false" customHeight="true" outlineLevel="0" collapsed="false">
      <c r="A85" s="1" t="s">
        <v>266</v>
      </c>
      <c r="B85" s="5" t="n">
        <f aca="false">N77</f>
        <v>12000</v>
      </c>
      <c r="C85" s="5" t="n">
        <f aca="false">(B8*B59+B60)*12*(1+B31)^1</f>
        <v>12360</v>
      </c>
      <c r="D85" s="5" t="n">
        <f aca="false">(B8*B59+B60)*12*(1+B31)^2</f>
        <v>12730.8</v>
      </c>
      <c r="E85" s="5" t="n">
        <f aca="false">(B8*B59+B60)*12*(1+B31)^3</f>
        <v>13112.724</v>
      </c>
      <c r="F85" s="5" t="n">
        <f aca="false">(B8*B59+B60)*12*(1+B31)^4</f>
        <v>13506.10572</v>
      </c>
    </row>
    <row r="86" customFormat="false" ht="15" hidden="false" customHeight="true" outlineLevel="0" collapsed="false">
      <c r="A86" s="8" t="s">
        <v>267</v>
      </c>
      <c r="B86" s="9" t="n">
        <f aca="false">SUM(B83:B85)</f>
        <v>535993.05</v>
      </c>
      <c r="C86" s="9" t="n">
        <f aca="false">SUM(C83:C85)</f>
        <v>658245.8595</v>
      </c>
      <c r="D86" s="9" t="n">
        <f aca="false">SUM(D83:D85)</f>
        <v>692776.844958</v>
      </c>
      <c r="E86" s="9" t="n">
        <f aca="false">SUM(E83:E85)</f>
        <v>713560.15030674</v>
      </c>
      <c r="F86" s="9" t="n">
        <f aca="false">SUM(F83:F85)</f>
        <v>734966.954815942</v>
      </c>
    </row>
    <row r="88" customFormat="false" ht="15" hidden="false" customHeight="true" outlineLevel="0" collapsed="false">
      <c r="A88" s="4" t="s">
        <v>270</v>
      </c>
      <c r="B88" s="4"/>
      <c r="C88" s="4"/>
      <c r="D88" s="4"/>
      <c r="E88" s="4"/>
      <c r="F88" s="4"/>
    </row>
    <row r="89" customFormat="false" ht="15" hidden="false" customHeight="true" outlineLevel="0" collapsed="false">
      <c r="B89" s="3" t="s">
        <v>23</v>
      </c>
      <c r="C89" s="3" t="s">
        <v>24</v>
      </c>
      <c r="D89" s="3" t="s">
        <v>25</v>
      </c>
      <c r="E89" s="3" t="s">
        <v>26</v>
      </c>
      <c r="F89" s="3" t="s">
        <v>27</v>
      </c>
    </row>
    <row r="90" customFormat="false" ht="15" hidden="false" customHeight="true" outlineLevel="0" collapsed="false">
      <c r="A90" s="8" t="s">
        <v>267</v>
      </c>
      <c r="B90" s="9" t="n">
        <f aca="false">B86</f>
        <v>535993.05</v>
      </c>
      <c r="C90" s="9" t="n">
        <f aca="false">C86</f>
        <v>658245.8595</v>
      </c>
      <c r="D90" s="9" t="n">
        <f aca="false">D86</f>
        <v>692776.844958</v>
      </c>
      <c r="E90" s="9" t="n">
        <f aca="false">E86</f>
        <v>713560.15030674</v>
      </c>
      <c r="F90" s="9" t="n">
        <f aca="false">F86</f>
        <v>734966.954815942</v>
      </c>
    </row>
    <row r="92" customFormat="false" ht="15" hidden="false" customHeight="true" outlineLevel="0" collapsed="false">
      <c r="A92" s="15" t="s">
        <v>271</v>
      </c>
      <c r="B92" s="15"/>
      <c r="C92" s="15"/>
      <c r="D92" s="15"/>
      <c r="E92" s="15"/>
      <c r="F92" s="15"/>
    </row>
    <row r="93" customFormat="false" ht="15" hidden="false" customHeight="true" outlineLevel="0" collapsed="false">
      <c r="A93" s="1" t="s">
        <v>218</v>
      </c>
      <c r="B93" s="5" t="n">
        <f aca="false">B36*B8*12</f>
        <v>28800</v>
      </c>
      <c r="C93" s="5" t="n">
        <f aca="false">B93*(1+B32)</f>
        <v>29520</v>
      </c>
      <c r="D93" s="5" t="n">
        <f aca="false">C93*(1+B32)</f>
        <v>30258</v>
      </c>
      <c r="E93" s="5" t="n">
        <f aca="false">D93*(1+B32)</f>
        <v>31014.45</v>
      </c>
      <c r="F93" s="5" t="n">
        <f aca="false">E93*(1+B32)</f>
        <v>31789.81125</v>
      </c>
    </row>
    <row r="94" customFormat="false" ht="15" hidden="false" customHeight="true" outlineLevel="0" collapsed="false">
      <c r="A94" s="1" t="s">
        <v>219</v>
      </c>
      <c r="B94" s="5" t="n">
        <f aca="false">B37*B8*12</f>
        <v>14400</v>
      </c>
      <c r="C94" s="5" t="n">
        <f aca="false">B94*(1+B32)</f>
        <v>14760</v>
      </c>
      <c r="D94" s="5" t="n">
        <f aca="false">C94*(1+B32)</f>
        <v>15129</v>
      </c>
      <c r="E94" s="5" t="n">
        <f aca="false">D94*(1+B32)</f>
        <v>15507.225</v>
      </c>
      <c r="F94" s="5" t="n">
        <f aca="false">E94*(1+B32)</f>
        <v>15894.905625</v>
      </c>
    </row>
    <row r="95" customFormat="false" ht="15" hidden="false" customHeight="true" outlineLevel="0" collapsed="false">
      <c r="A95" s="1" t="s">
        <v>220</v>
      </c>
      <c r="B95" s="5" t="n">
        <f aca="false">B38*B8*12</f>
        <v>19200</v>
      </c>
      <c r="C95" s="5" t="n">
        <f aca="false">B95*(1+B32)</f>
        <v>19680</v>
      </c>
      <c r="D95" s="5" t="n">
        <f aca="false">C95*(1+B32)</f>
        <v>20172</v>
      </c>
      <c r="E95" s="5" t="n">
        <f aca="false">D95*(1+B32)</f>
        <v>20676.3</v>
      </c>
      <c r="F95" s="5" t="n">
        <f aca="false">E95*(1+B32)</f>
        <v>21193.2075</v>
      </c>
    </row>
    <row r="96" customFormat="false" ht="15" hidden="false" customHeight="true" outlineLevel="0" collapsed="false">
      <c r="A96" s="1" t="s">
        <v>221</v>
      </c>
      <c r="B96" s="5" t="n">
        <f aca="false">B39*B8*12</f>
        <v>57600</v>
      </c>
      <c r="C96" s="5" t="n">
        <f aca="false">B96*(1+B32)</f>
        <v>59040</v>
      </c>
      <c r="D96" s="5" t="n">
        <f aca="false">C96*(1+B32)</f>
        <v>60516</v>
      </c>
      <c r="E96" s="5" t="n">
        <f aca="false">D96*(1+B32)</f>
        <v>62028.9</v>
      </c>
      <c r="F96" s="5" t="n">
        <f aca="false">E96*(1+B32)</f>
        <v>63579.6225</v>
      </c>
    </row>
    <row r="97" customFormat="false" ht="15" hidden="false" customHeight="true" outlineLevel="0" collapsed="false">
      <c r="A97" s="1" t="s">
        <v>222</v>
      </c>
      <c r="B97" s="5" t="n">
        <f aca="false">B40*B8*12</f>
        <v>9600</v>
      </c>
      <c r="C97" s="5" t="n">
        <f aca="false">B97*(1+B32)</f>
        <v>9840</v>
      </c>
      <c r="D97" s="5" t="n">
        <f aca="false">C97*(1+B32)</f>
        <v>10086</v>
      </c>
      <c r="E97" s="5" t="n">
        <f aca="false">D97*(1+B32)</f>
        <v>10338.15</v>
      </c>
      <c r="F97" s="5" t="n">
        <f aca="false">E97*(1+B32)</f>
        <v>10596.60375</v>
      </c>
    </row>
    <row r="98" customFormat="false" ht="15" hidden="false" customHeight="true" outlineLevel="0" collapsed="false">
      <c r="A98" s="1" t="s">
        <v>223</v>
      </c>
      <c r="B98" s="5" t="n">
        <f aca="false">B41*B8*12</f>
        <v>7680</v>
      </c>
      <c r="C98" s="5" t="n">
        <f aca="false">B98*(1+B32)</f>
        <v>7872</v>
      </c>
      <c r="D98" s="5" t="n">
        <f aca="false">C98*(1+B32)</f>
        <v>8068.8</v>
      </c>
      <c r="E98" s="5" t="n">
        <f aca="false">D98*(1+B32)</f>
        <v>8270.52</v>
      </c>
      <c r="F98" s="5" t="n">
        <f aca="false">E98*(1+B32)</f>
        <v>8477.283</v>
      </c>
    </row>
    <row r="99" customFormat="false" ht="15" hidden="false" customHeight="true" outlineLevel="0" collapsed="false">
      <c r="A99" s="1" t="s">
        <v>272</v>
      </c>
      <c r="B99" s="5" t="n">
        <f aca="false">B90*B45</f>
        <v>42879.444</v>
      </c>
      <c r="C99" s="5" t="n">
        <f aca="false">C90*B45</f>
        <v>52659.66876</v>
      </c>
      <c r="D99" s="5" t="n">
        <f aca="false">D90*B45</f>
        <v>55422.14759664</v>
      </c>
      <c r="E99" s="5" t="n">
        <f aca="false">E90*B45</f>
        <v>57084.8120245392</v>
      </c>
      <c r="F99" s="5" t="n">
        <f aca="false">F90*B45</f>
        <v>58797.3563852754</v>
      </c>
    </row>
    <row r="100" customFormat="false" ht="15" hidden="false" customHeight="true" outlineLevel="0" collapsed="false">
      <c r="A100" s="1" t="s">
        <v>273</v>
      </c>
      <c r="B100" s="5" t="n">
        <f aca="false">B90*B46</f>
        <v>26799.6525</v>
      </c>
      <c r="C100" s="5" t="n">
        <f aca="false">C90*B46</f>
        <v>32912.292975</v>
      </c>
      <c r="D100" s="5" t="n">
        <f aca="false">D90*B46</f>
        <v>34638.8422479</v>
      </c>
      <c r="E100" s="5" t="n">
        <f aca="false">E90*B46</f>
        <v>35678.007515337</v>
      </c>
      <c r="F100" s="5" t="n">
        <f aca="false">F90*B46</f>
        <v>36748.3477407971</v>
      </c>
    </row>
    <row r="101" customFormat="false" ht="15" hidden="false" customHeight="true" outlineLevel="0" collapsed="false">
      <c r="A101" s="1" t="s">
        <v>274</v>
      </c>
      <c r="B101" s="5" t="n">
        <f aca="false">B90*B47</f>
        <v>26799.6525</v>
      </c>
      <c r="C101" s="5" t="n">
        <f aca="false">C90*B47</f>
        <v>32912.292975</v>
      </c>
      <c r="D101" s="5" t="n">
        <f aca="false">D90*B47</f>
        <v>34638.8422479</v>
      </c>
      <c r="E101" s="5" t="n">
        <f aca="false">E90*B47</f>
        <v>35678.007515337</v>
      </c>
      <c r="F101" s="5" t="n">
        <f aca="false">F90*B47</f>
        <v>36748.3477407971</v>
      </c>
    </row>
    <row r="102" customFormat="false" ht="15" hidden="false" customHeight="true" outlineLevel="0" collapsed="false">
      <c r="A102" s="1" t="s">
        <v>275</v>
      </c>
      <c r="B102" s="5" t="n">
        <f aca="false">B56</f>
        <v>4931</v>
      </c>
      <c r="C102" s="5" t="n">
        <f aca="false">B102*(1+B33)</f>
        <v>5029.62</v>
      </c>
      <c r="D102" s="5" t="n">
        <f aca="false">C102*(1+B33)</f>
        <v>5130.2124</v>
      </c>
      <c r="E102" s="5" t="n">
        <f aca="false">D102*(1+B33)</f>
        <v>5232.816648</v>
      </c>
      <c r="F102" s="5" t="n">
        <f aca="false">E102*(1+B33)</f>
        <v>5337.47298096</v>
      </c>
    </row>
    <row r="103" customFormat="false" ht="15" hidden="false" customHeight="true" outlineLevel="0" collapsed="false">
      <c r="A103" s="1" t="s">
        <v>276</v>
      </c>
      <c r="B103" s="5" t="n">
        <f aca="false">B57*12</f>
        <v>6000</v>
      </c>
      <c r="C103" s="5" t="n">
        <f aca="false">B58*12*(1+B32)</f>
        <v>3690</v>
      </c>
      <c r="D103" s="5" t="n">
        <f aca="false">C103*(1+B32)</f>
        <v>3782.25</v>
      </c>
      <c r="E103" s="5" t="n">
        <f aca="false">D103*(1+B32)</f>
        <v>3876.80625</v>
      </c>
      <c r="F103" s="5" t="n">
        <f aca="false">E103*(1+B32)</f>
        <v>3973.72640625</v>
      </c>
    </row>
    <row r="104" customFormat="false" ht="15" hidden="false" customHeight="true" outlineLevel="0" collapsed="false">
      <c r="A104" s="1" t="s">
        <v>230</v>
      </c>
      <c r="B104" s="5" t="n">
        <f aca="false">B50*12</f>
        <v>38400</v>
      </c>
      <c r="C104" s="5" t="n">
        <f aca="false">B104*(1+B32)</f>
        <v>39360</v>
      </c>
      <c r="D104" s="5" t="n">
        <f aca="false">C104*(1+B32)</f>
        <v>40344</v>
      </c>
      <c r="E104" s="5" t="n">
        <f aca="false">D104*(1+B32)</f>
        <v>41352.6</v>
      </c>
      <c r="F104" s="5" t="n">
        <f aca="false">E104*(1+B32)</f>
        <v>42386.415</v>
      </c>
    </row>
    <row r="105" customFormat="false" ht="15" hidden="false" customHeight="true" outlineLevel="0" collapsed="false">
      <c r="A105" s="1" t="s">
        <v>277</v>
      </c>
      <c r="B105" s="5" t="n">
        <f aca="false">B53*12</f>
        <v>22339.2</v>
      </c>
      <c r="C105" s="5" t="n">
        <f aca="false">B105*(1+B32)</f>
        <v>22897.68</v>
      </c>
      <c r="D105" s="5" t="n">
        <f aca="false">C105*(1+B32)</f>
        <v>23470.122</v>
      </c>
      <c r="E105" s="5" t="n">
        <f aca="false">D105*(1+B32)</f>
        <v>24056.87505</v>
      </c>
      <c r="F105" s="5" t="n">
        <f aca="false">E105*(1+B32)</f>
        <v>24658.29692625</v>
      </c>
    </row>
    <row r="106" customFormat="false" ht="15" hidden="false" customHeight="true" outlineLevel="0" collapsed="false">
      <c r="A106" s="1" t="s">
        <v>234</v>
      </c>
      <c r="B106" s="5" t="n">
        <f aca="false">B54*12</f>
        <v>24000</v>
      </c>
      <c r="C106" s="5" t="n">
        <f aca="false">B106*(1+B32)</f>
        <v>24600</v>
      </c>
      <c r="D106" s="5" t="n">
        <f aca="false">C106*(1+B32)</f>
        <v>25215</v>
      </c>
      <c r="E106" s="5" t="n">
        <f aca="false">D106*(1+B32)</f>
        <v>25845.375</v>
      </c>
      <c r="F106" s="5" t="n">
        <f aca="false">E106*(1+B32)</f>
        <v>26491.509375</v>
      </c>
    </row>
    <row r="107" customFormat="false" ht="15" hidden="false" customHeight="true" outlineLevel="0" collapsed="false">
      <c r="A107" s="1" t="s">
        <v>235</v>
      </c>
      <c r="B107" s="5" t="n">
        <f aca="false">B55*12</f>
        <v>14400</v>
      </c>
      <c r="C107" s="5" t="n">
        <f aca="false">B107*(1+B32)</f>
        <v>14760</v>
      </c>
      <c r="D107" s="5" t="n">
        <f aca="false">C107*(1+B32)</f>
        <v>15129</v>
      </c>
      <c r="E107" s="5" t="n">
        <f aca="false">D107*(1+B32)</f>
        <v>15507.225</v>
      </c>
      <c r="F107" s="5" t="n">
        <f aca="false">E107*(1+B32)</f>
        <v>15894.905625</v>
      </c>
    </row>
    <row r="108" customFormat="false" ht="15" hidden="false" customHeight="true" outlineLevel="0" collapsed="false">
      <c r="A108" s="8" t="s">
        <v>278</v>
      </c>
      <c r="B108" s="9" t="n">
        <f aca="false">SUM(B93:B107)</f>
        <v>343828.949</v>
      </c>
      <c r="C108" s="9" t="n">
        <f aca="false">SUM(C93:C107)</f>
        <v>369533.55471</v>
      </c>
      <c r="D108" s="9" t="n">
        <f aca="false">SUM(D93:D107)</f>
        <v>382000.21649244</v>
      </c>
      <c r="E108" s="9" t="n">
        <f aca="false">SUM(E93:E107)</f>
        <v>392148.070003213</v>
      </c>
      <c r="F108" s="9" t="n">
        <f aca="false">SUM(F93:F107)</f>
        <v>402567.81180533</v>
      </c>
    </row>
    <row r="110" customFormat="false" ht="15" hidden="false" customHeight="true" outlineLevel="0" collapsed="false">
      <c r="A110" s="8" t="s">
        <v>31</v>
      </c>
      <c r="B110" s="9" t="n">
        <f aca="false">B90-B108</f>
        <v>192164.101</v>
      </c>
      <c r="C110" s="9" t="n">
        <f aca="false">C90-C108</f>
        <v>288712.30479</v>
      </c>
      <c r="D110" s="9" t="n">
        <f aca="false">D90-D108</f>
        <v>310776.62846556</v>
      </c>
      <c r="E110" s="9" t="n">
        <f aca="false">E90-E108</f>
        <v>321412.080303527</v>
      </c>
      <c r="F110" s="9" t="n">
        <f aca="false">F90-F108</f>
        <v>332399.143010613</v>
      </c>
    </row>
    <row r="111" customFormat="false" ht="15" hidden="false" customHeight="true" outlineLevel="0" collapsed="false">
      <c r="A111" s="1" t="s">
        <v>134</v>
      </c>
      <c r="B111" s="5" t="n">
        <f aca="false">'Capital Stack'!B18</f>
        <v>124402.388356814</v>
      </c>
      <c r="C111" s="5" t="n">
        <f aca="false">'Capital Stack'!B18</f>
        <v>124402.388356814</v>
      </c>
      <c r="D111" s="5" t="n">
        <f aca="false">'Capital Stack'!B18</f>
        <v>124402.388356814</v>
      </c>
      <c r="E111" s="5" t="n">
        <f aca="false">'Capital Stack'!B18</f>
        <v>124402.388356814</v>
      </c>
      <c r="F111" s="5" t="n">
        <f aca="false">'Capital Stack'!B18</f>
        <v>124402.388356814</v>
      </c>
    </row>
    <row r="112" customFormat="false" ht="15" hidden="false" customHeight="true" outlineLevel="0" collapsed="false">
      <c r="A112" s="8" t="s">
        <v>279</v>
      </c>
      <c r="B112" s="18" t="n">
        <f aca="false">B110-B111</f>
        <v>67761.7126431858</v>
      </c>
      <c r="C112" s="18" t="n">
        <f aca="false">C110-C111</f>
        <v>164309.916433186</v>
      </c>
      <c r="D112" s="18" t="n">
        <f aca="false">D110-D111</f>
        <v>186374.240108746</v>
      </c>
      <c r="E112" s="18" t="n">
        <f aca="false">E110-E111</f>
        <v>197009.691946713</v>
      </c>
      <c r="F112" s="18" t="n">
        <f aca="false">F110-F111</f>
        <v>207996.754653799</v>
      </c>
    </row>
    <row r="114" customFormat="false" ht="15" hidden="false" customHeight="true" outlineLevel="0" collapsed="false">
      <c r="A114" s="15" t="s">
        <v>280</v>
      </c>
      <c r="B114" s="15"/>
      <c r="C114" s="15"/>
      <c r="D114" s="15"/>
      <c r="E114" s="15"/>
      <c r="F114" s="15"/>
    </row>
    <row r="115" customFormat="false" ht="15" hidden="false" customHeight="true" outlineLevel="0" collapsed="false">
      <c r="A115" s="1" t="s">
        <v>36</v>
      </c>
      <c r="B115" s="7" t="n">
        <f aca="false">B108/B90</f>
        <v>0.64148023747696</v>
      </c>
      <c r="C115" s="7" t="n">
        <f aca="false">C108/C90</f>
        <v>0.561391384961685</v>
      </c>
      <c r="D115" s="7" t="n">
        <f aca="false">D108/D90</f>
        <v>0.55140442304419</v>
      </c>
      <c r="E115" s="7" t="n">
        <f aca="false">E108/E90</f>
        <v>0.549565540949336</v>
      </c>
      <c r="F115" s="7" t="n">
        <f aca="false">F108/F90</f>
        <v>0.547735934476326</v>
      </c>
    </row>
    <row r="116" customFormat="false" ht="15" hidden="false" customHeight="true" outlineLevel="0" collapsed="false">
      <c r="A116" s="1" t="s">
        <v>35</v>
      </c>
      <c r="B116" s="10" t="n">
        <f aca="false">B110/B111</f>
        <v>1.54469784333103</v>
      </c>
      <c r="C116" s="10" t="n">
        <f aca="false">C110/C111</f>
        <v>2.32079390599727</v>
      </c>
      <c r="D116" s="10" t="n">
        <f aca="false">D110/D111</f>
        <v>2.49815644675714</v>
      </c>
      <c r="E116" s="10" t="n">
        <f aca="false">E110/E111</f>
        <v>2.58364879122453</v>
      </c>
      <c r="F116" s="10" t="n">
        <f aca="false">F110/F111</f>
        <v>2.67196753535967</v>
      </c>
    </row>
    <row r="117" customFormat="false" ht="15" hidden="false" customHeight="true" outlineLevel="0" collapsed="false">
      <c r="A117" s="1" t="s">
        <v>281</v>
      </c>
      <c r="B117" s="7" t="n">
        <f aca="false">B112/'Capital Stack'!B11</f>
        <v>0.157969755046737</v>
      </c>
      <c r="C117" s="7" t="n">
        <f aca="false">C112/'Capital Stack'!B11</f>
        <v>0.383048129072198</v>
      </c>
      <c r="D117" s="7" t="n">
        <f aca="false">D112/'Capital Stack'!B11</f>
        <v>0.434485669097991</v>
      </c>
      <c r="E117" s="7" t="n">
        <f aca="false">E112/'Capital Stack'!B11</f>
        <v>0.459279607387329</v>
      </c>
      <c r="F117" s="7" t="n">
        <f aca="false">F112/'Capital Stack'!B11</f>
        <v>0.484893239877122</v>
      </c>
    </row>
    <row r="119" customFormat="false" ht="15" hidden="false" customHeight="true" outlineLevel="0" collapsed="false">
      <c r="A119" s="4" t="s">
        <v>282</v>
      </c>
      <c r="B119" s="4"/>
      <c r="C119" s="4"/>
      <c r="D119" s="4"/>
      <c r="E119" s="4"/>
      <c r="F119" s="4"/>
      <c r="G119" s="4"/>
      <c r="H119" s="4"/>
      <c r="I119" s="4"/>
      <c r="J119" s="4"/>
      <c r="K119" s="4"/>
      <c r="L119" s="4"/>
      <c r="M119" s="4"/>
      <c r="N119" s="4"/>
    </row>
    <row r="120" customFormat="false" ht="15" hidden="false" customHeight="true" outlineLevel="0" collapsed="false">
      <c r="B120" s="3" t="s">
        <v>250</v>
      </c>
      <c r="C120" s="3" t="s">
        <v>251</v>
      </c>
      <c r="D120" s="3" t="s">
        <v>252</v>
      </c>
      <c r="E120" s="3" t="s">
        <v>253</v>
      </c>
      <c r="F120" s="3" t="s">
        <v>254</v>
      </c>
      <c r="G120" s="3" t="s">
        <v>255</v>
      </c>
      <c r="H120" s="3" t="s">
        <v>256</v>
      </c>
      <c r="I120" s="3" t="s">
        <v>257</v>
      </c>
      <c r="J120" s="3" t="s">
        <v>258</v>
      </c>
      <c r="K120" s="3" t="s">
        <v>259</v>
      </c>
      <c r="L120" s="3" t="s">
        <v>260</v>
      </c>
      <c r="M120" s="3" t="s">
        <v>261</v>
      </c>
      <c r="N120" s="3" t="s">
        <v>262</v>
      </c>
    </row>
    <row r="121" customFormat="false" ht="15" hidden="false" customHeight="true" outlineLevel="0" collapsed="false">
      <c r="A121" s="1" t="s">
        <v>29</v>
      </c>
      <c r="B121" s="5" t="n">
        <f aca="false">B78</f>
        <v>35360.2</v>
      </c>
      <c r="C121" s="5" t="n">
        <f aca="false">C78</f>
        <v>35360.2</v>
      </c>
      <c r="D121" s="5" t="n">
        <f aca="false">D78</f>
        <v>35360.2</v>
      </c>
      <c r="E121" s="5" t="n">
        <f aca="false">E78</f>
        <v>43950.25</v>
      </c>
      <c r="F121" s="5" t="n">
        <f aca="false">F78</f>
        <v>43950.25</v>
      </c>
      <c r="G121" s="5" t="n">
        <f aca="false">G78</f>
        <v>43950.25</v>
      </c>
      <c r="H121" s="5" t="n">
        <f aca="false">H78</f>
        <v>49676.95</v>
      </c>
      <c r="I121" s="5" t="n">
        <f aca="false">I78</f>
        <v>49676.95</v>
      </c>
      <c r="J121" s="5" t="n">
        <f aca="false">J78</f>
        <v>49676.95</v>
      </c>
      <c r="K121" s="5" t="n">
        <f aca="false">K78</f>
        <v>49676.95</v>
      </c>
      <c r="L121" s="5" t="n">
        <f aca="false">L78</f>
        <v>49676.95</v>
      </c>
      <c r="M121" s="5" t="n">
        <f aca="false">M78</f>
        <v>49676.95</v>
      </c>
      <c r="N121" s="5" t="n">
        <f aca="false">SUM(B121:M121)</f>
        <v>535993.05</v>
      </c>
    </row>
    <row r="123" customFormat="false" ht="15" hidden="false" customHeight="true" outlineLevel="0" collapsed="false">
      <c r="A123" s="15" t="s">
        <v>271</v>
      </c>
      <c r="B123" s="15"/>
      <c r="C123" s="15"/>
      <c r="D123" s="15"/>
      <c r="E123" s="15"/>
      <c r="F123" s="15"/>
      <c r="G123" s="15"/>
      <c r="H123" s="15"/>
      <c r="I123" s="15"/>
      <c r="J123" s="15"/>
      <c r="K123" s="15"/>
      <c r="L123" s="15"/>
      <c r="M123" s="15"/>
      <c r="N123" s="15"/>
    </row>
    <row r="124" customFormat="false" ht="15" hidden="false" customHeight="true" outlineLevel="0" collapsed="false">
      <c r="A124" s="1" t="s">
        <v>218</v>
      </c>
      <c r="B124" s="5" t="n">
        <f aca="false">B36*B8</f>
        <v>2400</v>
      </c>
      <c r="C124" s="5" t="n">
        <f aca="false">B36*B8</f>
        <v>2400</v>
      </c>
      <c r="D124" s="5" t="n">
        <f aca="false">B36*B8</f>
        <v>2400</v>
      </c>
      <c r="E124" s="5" t="n">
        <f aca="false">B36*B8</f>
        <v>2400</v>
      </c>
      <c r="F124" s="5" t="n">
        <f aca="false">B36*B8</f>
        <v>2400</v>
      </c>
      <c r="G124" s="5" t="n">
        <f aca="false">B36*B8</f>
        <v>2400</v>
      </c>
      <c r="H124" s="5" t="n">
        <f aca="false">B36*B8</f>
        <v>2400</v>
      </c>
      <c r="I124" s="5" t="n">
        <f aca="false">B36*B8</f>
        <v>2400</v>
      </c>
      <c r="J124" s="5" t="n">
        <f aca="false">B36*B8</f>
        <v>2400</v>
      </c>
      <c r="K124" s="5" t="n">
        <f aca="false">B36*B8</f>
        <v>2400</v>
      </c>
      <c r="L124" s="5" t="n">
        <f aca="false">B36*B8</f>
        <v>2400</v>
      </c>
      <c r="M124" s="5" t="n">
        <f aca="false">B36*B8</f>
        <v>2400</v>
      </c>
      <c r="N124" s="5" t="n">
        <f aca="false">SUM(B124:M124)</f>
        <v>28800</v>
      </c>
    </row>
    <row r="125" customFormat="false" ht="15" hidden="false" customHeight="true" outlineLevel="0" collapsed="false">
      <c r="A125" s="1" t="s">
        <v>219</v>
      </c>
      <c r="B125" s="5" t="n">
        <f aca="false">B37*B8</f>
        <v>1200</v>
      </c>
      <c r="C125" s="5" t="n">
        <f aca="false">B37*B8</f>
        <v>1200</v>
      </c>
      <c r="D125" s="5" t="n">
        <f aca="false">B37*B8</f>
        <v>1200</v>
      </c>
      <c r="E125" s="5" t="n">
        <f aca="false">B37*B8</f>
        <v>1200</v>
      </c>
      <c r="F125" s="5" t="n">
        <f aca="false">B37*B8</f>
        <v>1200</v>
      </c>
      <c r="G125" s="5" t="n">
        <f aca="false">B37*B8</f>
        <v>1200</v>
      </c>
      <c r="H125" s="5" t="n">
        <f aca="false">B37*B8</f>
        <v>1200</v>
      </c>
      <c r="I125" s="5" t="n">
        <f aca="false">B37*B8</f>
        <v>1200</v>
      </c>
      <c r="J125" s="5" t="n">
        <f aca="false">B37*B8</f>
        <v>1200</v>
      </c>
      <c r="K125" s="5" t="n">
        <f aca="false">B37*B8</f>
        <v>1200</v>
      </c>
      <c r="L125" s="5" t="n">
        <f aca="false">B37*B8</f>
        <v>1200</v>
      </c>
      <c r="M125" s="5" t="n">
        <f aca="false">B37*B8</f>
        <v>1200</v>
      </c>
      <c r="N125" s="5" t="n">
        <f aca="false">SUM(B125:M125)</f>
        <v>14400</v>
      </c>
    </row>
    <row r="126" customFormat="false" ht="15" hidden="false" customHeight="true" outlineLevel="0" collapsed="false">
      <c r="A126" s="1" t="s">
        <v>220</v>
      </c>
      <c r="B126" s="5" t="n">
        <f aca="false">B38*B8</f>
        <v>1600</v>
      </c>
      <c r="C126" s="5" t="n">
        <f aca="false">B38*B8</f>
        <v>1600</v>
      </c>
      <c r="D126" s="5" t="n">
        <f aca="false">B38*B8</f>
        <v>1600</v>
      </c>
      <c r="E126" s="5" t="n">
        <f aca="false">B38*B8</f>
        <v>1600</v>
      </c>
      <c r="F126" s="5" t="n">
        <f aca="false">B38*B8</f>
        <v>1600</v>
      </c>
      <c r="G126" s="5" t="n">
        <f aca="false">B38*B8</f>
        <v>1600</v>
      </c>
      <c r="H126" s="5" t="n">
        <f aca="false">B38*B8</f>
        <v>1600</v>
      </c>
      <c r="I126" s="5" t="n">
        <f aca="false">B38*B8</f>
        <v>1600</v>
      </c>
      <c r="J126" s="5" t="n">
        <f aca="false">B38*B8</f>
        <v>1600</v>
      </c>
      <c r="K126" s="5" t="n">
        <f aca="false">B38*B8</f>
        <v>1600</v>
      </c>
      <c r="L126" s="5" t="n">
        <f aca="false">B38*B8</f>
        <v>1600</v>
      </c>
      <c r="M126" s="5" t="n">
        <f aca="false">B38*B8</f>
        <v>1600</v>
      </c>
      <c r="N126" s="5" t="n">
        <f aca="false">SUM(B126:M126)</f>
        <v>19200</v>
      </c>
    </row>
    <row r="127" customFormat="false" ht="15" hidden="false" customHeight="true" outlineLevel="0" collapsed="false">
      <c r="A127" s="1" t="s">
        <v>221</v>
      </c>
      <c r="B127" s="5" t="n">
        <f aca="false">B39*B8</f>
        <v>4800</v>
      </c>
      <c r="C127" s="5" t="n">
        <f aca="false">B39*B8</f>
        <v>4800</v>
      </c>
      <c r="D127" s="5" t="n">
        <f aca="false">B39*B8</f>
        <v>4800</v>
      </c>
      <c r="E127" s="5" t="n">
        <f aca="false">B39*B8</f>
        <v>4800</v>
      </c>
      <c r="F127" s="5" t="n">
        <f aca="false">B39*B8</f>
        <v>4800</v>
      </c>
      <c r="G127" s="5" t="n">
        <f aca="false">B39*B8</f>
        <v>4800</v>
      </c>
      <c r="H127" s="5" t="n">
        <f aca="false">B39*B8</f>
        <v>4800</v>
      </c>
      <c r="I127" s="5" t="n">
        <f aca="false">B39*B8</f>
        <v>4800</v>
      </c>
      <c r="J127" s="5" t="n">
        <f aca="false">B39*B8</f>
        <v>4800</v>
      </c>
      <c r="K127" s="5" t="n">
        <f aca="false">B39*B8</f>
        <v>4800</v>
      </c>
      <c r="L127" s="5" t="n">
        <f aca="false">B39*B8</f>
        <v>4800</v>
      </c>
      <c r="M127" s="5" t="n">
        <f aca="false">B39*B8</f>
        <v>4800</v>
      </c>
      <c r="N127" s="5" t="n">
        <f aca="false">SUM(B127:M127)</f>
        <v>57600</v>
      </c>
    </row>
    <row r="128" customFormat="false" ht="15" hidden="false" customHeight="true" outlineLevel="0" collapsed="false">
      <c r="A128" s="1" t="s">
        <v>222</v>
      </c>
      <c r="B128" s="5" t="n">
        <f aca="false">B40*B8</f>
        <v>800</v>
      </c>
      <c r="C128" s="5" t="n">
        <f aca="false">B40*B8</f>
        <v>800</v>
      </c>
      <c r="D128" s="5" t="n">
        <f aca="false">B40*B8</f>
        <v>800</v>
      </c>
      <c r="E128" s="5" t="n">
        <f aca="false">B40*B8</f>
        <v>800</v>
      </c>
      <c r="F128" s="5" t="n">
        <f aca="false">B40*B8</f>
        <v>800</v>
      </c>
      <c r="G128" s="5" t="n">
        <f aca="false">B40*B8</f>
        <v>800</v>
      </c>
      <c r="H128" s="5" t="n">
        <f aca="false">B40*B8</f>
        <v>800</v>
      </c>
      <c r="I128" s="5" t="n">
        <f aca="false">B40*B8</f>
        <v>800</v>
      </c>
      <c r="J128" s="5" t="n">
        <f aca="false">B40*B8</f>
        <v>800</v>
      </c>
      <c r="K128" s="5" t="n">
        <f aca="false">B40*B8</f>
        <v>800</v>
      </c>
      <c r="L128" s="5" t="n">
        <f aca="false">B40*B8</f>
        <v>800</v>
      </c>
      <c r="M128" s="5" t="n">
        <f aca="false">B40*B8</f>
        <v>800</v>
      </c>
      <c r="N128" s="5" t="n">
        <f aca="false">SUM(B128:M128)</f>
        <v>9600</v>
      </c>
    </row>
    <row r="129" customFormat="false" ht="15" hidden="false" customHeight="true" outlineLevel="0" collapsed="false">
      <c r="A129" s="1" t="s">
        <v>223</v>
      </c>
      <c r="B129" s="5" t="n">
        <f aca="false">B41*B8</f>
        <v>640</v>
      </c>
      <c r="C129" s="5" t="n">
        <f aca="false">B41*B8</f>
        <v>640</v>
      </c>
      <c r="D129" s="5" t="n">
        <f aca="false">B41*B8</f>
        <v>640</v>
      </c>
      <c r="E129" s="5" t="n">
        <f aca="false">B41*B8</f>
        <v>640</v>
      </c>
      <c r="F129" s="5" t="n">
        <f aca="false">B41*B8</f>
        <v>640</v>
      </c>
      <c r="G129" s="5" t="n">
        <f aca="false">B41*B8</f>
        <v>640</v>
      </c>
      <c r="H129" s="5" t="n">
        <f aca="false">B41*B8</f>
        <v>640</v>
      </c>
      <c r="I129" s="5" t="n">
        <f aca="false">B41*B8</f>
        <v>640</v>
      </c>
      <c r="J129" s="5" t="n">
        <f aca="false">B41*B8</f>
        <v>640</v>
      </c>
      <c r="K129" s="5" t="n">
        <f aca="false">B41*B8</f>
        <v>640</v>
      </c>
      <c r="L129" s="5" t="n">
        <f aca="false">B41*B8</f>
        <v>640</v>
      </c>
      <c r="M129" s="5" t="n">
        <f aca="false">B41*B8</f>
        <v>640</v>
      </c>
      <c r="N129" s="5" t="n">
        <f aca="false">SUM(B129:M129)</f>
        <v>7680</v>
      </c>
    </row>
    <row r="130" customFormat="false" ht="15" hidden="false" customHeight="true" outlineLevel="0" collapsed="false">
      <c r="A130" s="1" t="s">
        <v>272</v>
      </c>
      <c r="B130" s="5" t="n">
        <f aca="false">B121*B45</f>
        <v>2828.816</v>
      </c>
      <c r="C130" s="5" t="n">
        <f aca="false">C121*B45</f>
        <v>2828.816</v>
      </c>
      <c r="D130" s="5" t="n">
        <f aca="false">D121*B45</f>
        <v>2828.816</v>
      </c>
      <c r="E130" s="5" t="n">
        <f aca="false">E121*B45</f>
        <v>3516.02</v>
      </c>
      <c r="F130" s="5" t="n">
        <f aca="false">F121*B45</f>
        <v>3516.02</v>
      </c>
      <c r="G130" s="5" t="n">
        <f aca="false">G121*B45</f>
        <v>3516.02</v>
      </c>
      <c r="H130" s="5" t="n">
        <f aca="false">H121*B45</f>
        <v>3974.156</v>
      </c>
      <c r="I130" s="5" t="n">
        <f aca="false">I121*B45</f>
        <v>3974.156</v>
      </c>
      <c r="J130" s="5" t="n">
        <f aca="false">J121*B45</f>
        <v>3974.156</v>
      </c>
      <c r="K130" s="5" t="n">
        <f aca="false">K121*B45</f>
        <v>3974.156</v>
      </c>
      <c r="L130" s="5" t="n">
        <f aca="false">L121*B45</f>
        <v>3974.156</v>
      </c>
      <c r="M130" s="5" t="n">
        <f aca="false">M121*B45</f>
        <v>3974.156</v>
      </c>
      <c r="N130" s="5" t="n">
        <f aca="false">SUM(B130:M130)</f>
        <v>42879.444</v>
      </c>
    </row>
    <row r="131" customFormat="false" ht="15" hidden="false" customHeight="true" outlineLevel="0" collapsed="false">
      <c r="A131" s="1" t="s">
        <v>273</v>
      </c>
      <c r="B131" s="5" t="n">
        <f aca="false">B121*B46</f>
        <v>1768.01</v>
      </c>
      <c r="C131" s="5" t="n">
        <f aca="false">C121*B46</f>
        <v>1768.01</v>
      </c>
      <c r="D131" s="5" t="n">
        <f aca="false">D121*B46</f>
        <v>1768.01</v>
      </c>
      <c r="E131" s="5" t="n">
        <f aca="false">E121*B46</f>
        <v>2197.5125</v>
      </c>
      <c r="F131" s="5" t="n">
        <f aca="false">F121*B46</f>
        <v>2197.5125</v>
      </c>
      <c r="G131" s="5" t="n">
        <f aca="false">G121*B46</f>
        <v>2197.5125</v>
      </c>
      <c r="H131" s="5" t="n">
        <f aca="false">H121*B46</f>
        <v>2483.8475</v>
      </c>
      <c r="I131" s="5" t="n">
        <f aca="false">I121*B46</f>
        <v>2483.8475</v>
      </c>
      <c r="J131" s="5" t="n">
        <f aca="false">J121*B46</f>
        <v>2483.8475</v>
      </c>
      <c r="K131" s="5" t="n">
        <f aca="false">K121*B46</f>
        <v>2483.8475</v>
      </c>
      <c r="L131" s="5" t="n">
        <f aca="false">L121*B46</f>
        <v>2483.8475</v>
      </c>
      <c r="M131" s="5" t="n">
        <f aca="false">M121*B46</f>
        <v>2483.8475</v>
      </c>
      <c r="N131" s="5" t="n">
        <f aca="false">SUM(B131:M131)</f>
        <v>26799.6525</v>
      </c>
    </row>
    <row r="132" customFormat="false" ht="15" hidden="false" customHeight="true" outlineLevel="0" collapsed="false">
      <c r="A132" s="1" t="s">
        <v>274</v>
      </c>
      <c r="B132" s="5" t="n">
        <f aca="false">B121*B47</f>
        <v>1768.01</v>
      </c>
      <c r="C132" s="5" t="n">
        <f aca="false">C121*B47</f>
        <v>1768.01</v>
      </c>
      <c r="D132" s="5" t="n">
        <f aca="false">D121*B47</f>
        <v>1768.01</v>
      </c>
      <c r="E132" s="5" t="n">
        <f aca="false">E121*B47</f>
        <v>2197.5125</v>
      </c>
      <c r="F132" s="5" t="n">
        <f aca="false">F121*B47</f>
        <v>2197.5125</v>
      </c>
      <c r="G132" s="5" t="n">
        <f aca="false">G121*B47</f>
        <v>2197.5125</v>
      </c>
      <c r="H132" s="5" t="n">
        <f aca="false">H121*B47</f>
        <v>2483.8475</v>
      </c>
      <c r="I132" s="5" t="n">
        <f aca="false">I121*B47</f>
        <v>2483.8475</v>
      </c>
      <c r="J132" s="5" t="n">
        <f aca="false">J121*B47</f>
        <v>2483.8475</v>
      </c>
      <c r="K132" s="5" t="n">
        <f aca="false">K121*B47</f>
        <v>2483.8475</v>
      </c>
      <c r="L132" s="5" t="n">
        <f aca="false">L121*B47</f>
        <v>2483.8475</v>
      </c>
      <c r="M132" s="5" t="n">
        <f aca="false">M121*B47</f>
        <v>2483.8475</v>
      </c>
      <c r="N132" s="5" t="n">
        <f aca="false">SUM(B132:M132)</f>
        <v>26799.6525</v>
      </c>
    </row>
    <row r="133" customFormat="false" ht="15" hidden="false" customHeight="true" outlineLevel="0" collapsed="false">
      <c r="A133" s="1" t="s">
        <v>275</v>
      </c>
      <c r="B133" s="5" t="n">
        <f aca="false">B56/12</f>
        <v>410.916666666667</v>
      </c>
      <c r="C133" s="5" t="n">
        <f aca="false">B56/12</f>
        <v>410.916666666667</v>
      </c>
      <c r="D133" s="5" t="n">
        <f aca="false">B56/12</f>
        <v>410.916666666667</v>
      </c>
      <c r="E133" s="5" t="n">
        <f aca="false">B56/12</f>
        <v>410.916666666667</v>
      </c>
      <c r="F133" s="5" t="n">
        <f aca="false">B56/12</f>
        <v>410.916666666667</v>
      </c>
      <c r="G133" s="5" t="n">
        <f aca="false">B56/12</f>
        <v>410.916666666667</v>
      </c>
      <c r="H133" s="5" t="n">
        <f aca="false">B56/12</f>
        <v>410.916666666667</v>
      </c>
      <c r="I133" s="5" t="n">
        <f aca="false">B56/12</f>
        <v>410.916666666667</v>
      </c>
      <c r="J133" s="5" t="n">
        <f aca="false">B56/12</f>
        <v>410.916666666667</v>
      </c>
      <c r="K133" s="5" t="n">
        <f aca="false">B56/12</f>
        <v>410.916666666667</v>
      </c>
      <c r="L133" s="5" t="n">
        <f aca="false">B56/12</f>
        <v>410.916666666667</v>
      </c>
      <c r="M133" s="5" t="n">
        <f aca="false">B56/12</f>
        <v>410.916666666667</v>
      </c>
      <c r="N133" s="5" t="n">
        <f aca="false">SUM(B133:M133)</f>
        <v>4931</v>
      </c>
    </row>
    <row r="134" customFormat="false" ht="15" hidden="false" customHeight="true" outlineLevel="0" collapsed="false">
      <c r="A134" s="1" t="s">
        <v>276</v>
      </c>
      <c r="B134" s="5" t="n">
        <f aca="false">B57</f>
        <v>500</v>
      </c>
      <c r="C134" s="5" t="n">
        <f aca="false">B57</f>
        <v>500</v>
      </c>
      <c r="D134" s="5" t="n">
        <f aca="false">B57</f>
        <v>500</v>
      </c>
      <c r="E134" s="5" t="n">
        <f aca="false">B57</f>
        <v>500</v>
      </c>
      <c r="F134" s="5" t="n">
        <f aca="false">B57</f>
        <v>500</v>
      </c>
      <c r="G134" s="5" t="n">
        <f aca="false">B57</f>
        <v>500</v>
      </c>
      <c r="H134" s="5" t="n">
        <f aca="false">B57</f>
        <v>500</v>
      </c>
      <c r="I134" s="5" t="n">
        <f aca="false">B57</f>
        <v>500</v>
      </c>
      <c r="J134" s="5" t="n">
        <f aca="false">B57</f>
        <v>500</v>
      </c>
      <c r="K134" s="5" t="n">
        <f aca="false">B57</f>
        <v>500</v>
      </c>
      <c r="L134" s="5" t="n">
        <f aca="false">B57</f>
        <v>500</v>
      </c>
      <c r="M134" s="5" t="n">
        <f aca="false">B57</f>
        <v>500</v>
      </c>
      <c r="N134" s="5" t="n">
        <f aca="false">SUM(B134:M134)</f>
        <v>6000</v>
      </c>
    </row>
    <row r="135" customFormat="false" ht="15" hidden="false" customHeight="true" outlineLevel="0" collapsed="false">
      <c r="A135" s="1" t="s">
        <v>230</v>
      </c>
      <c r="B135" s="5" t="n">
        <f aca="false">B50</f>
        <v>3200</v>
      </c>
      <c r="C135" s="5" t="n">
        <f aca="false">B50</f>
        <v>3200</v>
      </c>
      <c r="D135" s="5" t="n">
        <f aca="false">B50</f>
        <v>3200</v>
      </c>
      <c r="E135" s="5" t="n">
        <f aca="false">B50</f>
        <v>3200</v>
      </c>
      <c r="F135" s="5" t="n">
        <f aca="false">B50</f>
        <v>3200</v>
      </c>
      <c r="G135" s="5" t="n">
        <f aca="false">B50</f>
        <v>3200</v>
      </c>
      <c r="H135" s="5" t="n">
        <f aca="false">B50</f>
        <v>3200</v>
      </c>
      <c r="I135" s="5" t="n">
        <f aca="false">B50</f>
        <v>3200</v>
      </c>
      <c r="J135" s="5" t="n">
        <f aca="false">B50</f>
        <v>3200</v>
      </c>
      <c r="K135" s="5" t="n">
        <f aca="false">B50</f>
        <v>3200</v>
      </c>
      <c r="L135" s="5" t="n">
        <f aca="false">B50</f>
        <v>3200</v>
      </c>
      <c r="M135" s="5" t="n">
        <f aca="false">B50</f>
        <v>3200</v>
      </c>
      <c r="N135" s="5" t="n">
        <f aca="false">SUM(B135:M135)</f>
        <v>38400</v>
      </c>
    </row>
    <row r="136" customFormat="false" ht="15" hidden="false" customHeight="true" outlineLevel="0" collapsed="false">
      <c r="A136" s="1" t="s">
        <v>277</v>
      </c>
      <c r="B136" s="5" t="n">
        <f aca="false">B53</f>
        <v>1861.6</v>
      </c>
      <c r="C136" s="5" t="n">
        <f aca="false">B53</f>
        <v>1861.6</v>
      </c>
      <c r="D136" s="5" t="n">
        <f aca="false">B53</f>
        <v>1861.6</v>
      </c>
      <c r="E136" s="5" t="n">
        <f aca="false">B53</f>
        <v>1861.6</v>
      </c>
      <c r="F136" s="5" t="n">
        <f aca="false">B53</f>
        <v>1861.6</v>
      </c>
      <c r="G136" s="5" t="n">
        <f aca="false">B53</f>
        <v>1861.6</v>
      </c>
      <c r="H136" s="5" t="n">
        <f aca="false">B53</f>
        <v>1861.6</v>
      </c>
      <c r="I136" s="5" t="n">
        <f aca="false">B53</f>
        <v>1861.6</v>
      </c>
      <c r="J136" s="5" t="n">
        <f aca="false">B53</f>
        <v>1861.6</v>
      </c>
      <c r="K136" s="5" t="n">
        <f aca="false">B53</f>
        <v>1861.6</v>
      </c>
      <c r="L136" s="5" t="n">
        <f aca="false">B53</f>
        <v>1861.6</v>
      </c>
      <c r="M136" s="5" t="n">
        <f aca="false">B53</f>
        <v>1861.6</v>
      </c>
      <c r="N136" s="5" t="n">
        <f aca="false">SUM(B136:M136)</f>
        <v>22339.2</v>
      </c>
    </row>
    <row r="137" customFormat="false" ht="15" hidden="false" customHeight="true" outlineLevel="0" collapsed="false">
      <c r="A137" s="1" t="s">
        <v>234</v>
      </c>
      <c r="B137" s="5" t="n">
        <f aca="false">B54</f>
        <v>2000</v>
      </c>
      <c r="C137" s="5" t="n">
        <f aca="false">B54</f>
        <v>2000</v>
      </c>
      <c r="D137" s="5" t="n">
        <f aca="false">B54</f>
        <v>2000</v>
      </c>
      <c r="E137" s="5" t="n">
        <f aca="false">B54</f>
        <v>2000</v>
      </c>
      <c r="F137" s="5" t="n">
        <f aca="false">B54</f>
        <v>2000</v>
      </c>
      <c r="G137" s="5" t="n">
        <f aca="false">B54</f>
        <v>2000</v>
      </c>
      <c r="H137" s="5" t="n">
        <f aca="false">B54</f>
        <v>2000</v>
      </c>
      <c r="I137" s="5" t="n">
        <f aca="false">B54</f>
        <v>2000</v>
      </c>
      <c r="J137" s="5" t="n">
        <f aca="false">B54</f>
        <v>2000</v>
      </c>
      <c r="K137" s="5" t="n">
        <f aca="false">B54</f>
        <v>2000</v>
      </c>
      <c r="L137" s="5" t="n">
        <f aca="false">B54</f>
        <v>2000</v>
      </c>
      <c r="M137" s="5" t="n">
        <f aca="false">B54</f>
        <v>2000</v>
      </c>
      <c r="N137" s="5" t="n">
        <f aca="false">SUM(B137:M137)</f>
        <v>24000</v>
      </c>
    </row>
    <row r="138" customFormat="false" ht="15" hidden="false" customHeight="true" outlineLevel="0" collapsed="false">
      <c r="A138" s="1" t="s">
        <v>235</v>
      </c>
      <c r="B138" s="5" t="n">
        <f aca="false">B55</f>
        <v>1200</v>
      </c>
      <c r="C138" s="5" t="n">
        <f aca="false">B55</f>
        <v>1200</v>
      </c>
      <c r="D138" s="5" t="n">
        <f aca="false">B55</f>
        <v>1200</v>
      </c>
      <c r="E138" s="5" t="n">
        <f aca="false">B55</f>
        <v>1200</v>
      </c>
      <c r="F138" s="5" t="n">
        <f aca="false">B55</f>
        <v>1200</v>
      </c>
      <c r="G138" s="5" t="n">
        <f aca="false">B55</f>
        <v>1200</v>
      </c>
      <c r="H138" s="5" t="n">
        <f aca="false">B55</f>
        <v>1200</v>
      </c>
      <c r="I138" s="5" t="n">
        <f aca="false">B55</f>
        <v>1200</v>
      </c>
      <c r="J138" s="5" t="n">
        <f aca="false">B55</f>
        <v>1200</v>
      </c>
      <c r="K138" s="5" t="n">
        <f aca="false">B55</f>
        <v>1200</v>
      </c>
      <c r="L138" s="5" t="n">
        <f aca="false">B55</f>
        <v>1200</v>
      </c>
      <c r="M138" s="5" t="n">
        <f aca="false">B55</f>
        <v>1200</v>
      </c>
      <c r="N138" s="5" t="n">
        <f aca="false">SUM(B138:M138)</f>
        <v>14400</v>
      </c>
    </row>
    <row r="139" customFormat="false" ht="15" hidden="false" customHeight="true" outlineLevel="0" collapsed="false">
      <c r="A139" s="8" t="s">
        <v>283</v>
      </c>
      <c r="B139" s="9" t="n">
        <f aca="false">SUM(B124:B138)</f>
        <v>26977.3526666667</v>
      </c>
      <c r="C139" s="9" t="n">
        <f aca="false">SUM(C124:C138)</f>
        <v>26977.3526666667</v>
      </c>
      <c r="D139" s="9" t="n">
        <f aca="false">SUM(D124:D138)</f>
        <v>26977.3526666667</v>
      </c>
      <c r="E139" s="9" t="n">
        <f aca="false">SUM(E124:E138)</f>
        <v>28523.5616666667</v>
      </c>
      <c r="F139" s="9" t="n">
        <f aca="false">SUM(F124:F138)</f>
        <v>28523.5616666667</v>
      </c>
      <c r="G139" s="9" t="n">
        <f aca="false">SUM(G124:G138)</f>
        <v>28523.5616666667</v>
      </c>
      <c r="H139" s="9" t="n">
        <f aca="false">SUM(H124:H138)</f>
        <v>29554.3676666667</v>
      </c>
      <c r="I139" s="9" t="n">
        <f aca="false">SUM(I124:I138)</f>
        <v>29554.3676666667</v>
      </c>
      <c r="J139" s="9" t="n">
        <f aca="false">SUM(J124:J138)</f>
        <v>29554.3676666667</v>
      </c>
      <c r="K139" s="9" t="n">
        <f aca="false">SUM(K124:K138)</f>
        <v>29554.3676666667</v>
      </c>
      <c r="L139" s="9" t="n">
        <f aca="false">SUM(L124:L138)</f>
        <v>29554.3676666667</v>
      </c>
      <c r="M139" s="9" t="n">
        <f aca="false">SUM(M124:M138)</f>
        <v>29554.3676666667</v>
      </c>
      <c r="N139" s="9" t="n">
        <f aca="false">SUM(B139:M139)</f>
        <v>343828.949</v>
      </c>
    </row>
    <row r="141" customFormat="false" ht="15" hidden="false" customHeight="true" outlineLevel="0" collapsed="false">
      <c r="A141" s="1" t="s">
        <v>284</v>
      </c>
      <c r="B141" s="5" t="n">
        <f aca="false">B121-B139</f>
        <v>8382.84733333334</v>
      </c>
      <c r="C141" s="5" t="n">
        <f aca="false">C121-C139</f>
        <v>8382.84733333334</v>
      </c>
      <c r="D141" s="5" t="n">
        <f aca="false">D121-D139</f>
        <v>8382.84733333334</v>
      </c>
      <c r="E141" s="5" t="n">
        <f aca="false">E121-E139</f>
        <v>15426.6883333333</v>
      </c>
      <c r="F141" s="5" t="n">
        <f aca="false">F121-F139</f>
        <v>15426.6883333333</v>
      </c>
      <c r="G141" s="5" t="n">
        <f aca="false">G121-G139</f>
        <v>15426.6883333333</v>
      </c>
      <c r="H141" s="5" t="n">
        <f aca="false">H121-H139</f>
        <v>20122.5823333333</v>
      </c>
      <c r="I141" s="5" t="n">
        <f aca="false">I121-I139</f>
        <v>20122.5823333333</v>
      </c>
      <c r="J141" s="5" t="n">
        <f aca="false">J121-J139</f>
        <v>20122.5823333333</v>
      </c>
      <c r="K141" s="5" t="n">
        <f aca="false">K121-K139</f>
        <v>20122.5823333333</v>
      </c>
      <c r="L141" s="5" t="n">
        <f aca="false">L121-L139</f>
        <v>20122.5823333333</v>
      </c>
      <c r="M141" s="5" t="n">
        <f aca="false">M121-M139</f>
        <v>20122.5823333333</v>
      </c>
      <c r="N141" s="5" t="n">
        <f aca="false">SUM(B141:M141)</f>
        <v>192164.101</v>
      </c>
    </row>
    <row r="142" customFormat="false" ht="15" hidden="false" customHeight="true" outlineLevel="0" collapsed="false">
      <c r="A142" s="1" t="s">
        <v>32</v>
      </c>
      <c r="B142" s="5" t="n">
        <f aca="false">'Capital Stack'!B17</f>
        <v>10366.8656964012</v>
      </c>
      <c r="C142" s="5" t="n">
        <f aca="false">'Capital Stack'!B17</f>
        <v>10366.8656964012</v>
      </c>
      <c r="D142" s="5" t="n">
        <f aca="false">'Capital Stack'!B17</f>
        <v>10366.8656964012</v>
      </c>
      <c r="E142" s="5" t="n">
        <f aca="false">'Capital Stack'!B17</f>
        <v>10366.8656964012</v>
      </c>
      <c r="F142" s="5" t="n">
        <f aca="false">'Capital Stack'!B17</f>
        <v>10366.8656964012</v>
      </c>
      <c r="G142" s="5" t="n">
        <f aca="false">'Capital Stack'!B17</f>
        <v>10366.8656964012</v>
      </c>
      <c r="H142" s="5" t="n">
        <f aca="false">'Capital Stack'!B17</f>
        <v>10366.8656964012</v>
      </c>
      <c r="I142" s="5" t="n">
        <f aca="false">'Capital Stack'!B17</f>
        <v>10366.8656964012</v>
      </c>
      <c r="J142" s="5" t="n">
        <f aca="false">'Capital Stack'!B17</f>
        <v>10366.8656964012</v>
      </c>
      <c r="K142" s="5" t="n">
        <f aca="false">'Capital Stack'!B17</f>
        <v>10366.8656964012</v>
      </c>
      <c r="L142" s="5" t="n">
        <f aca="false">'Capital Stack'!B17</f>
        <v>10366.8656964012</v>
      </c>
      <c r="M142" s="5" t="n">
        <f aca="false">'Capital Stack'!B17</f>
        <v>10366.8656964012</v>
      </c>
      <c r="N142" s="5" t="n">
        <f aca="false">SUM(B142:M142)</f>
        <v>124402.388356814</v>
      </c>
    </row>
    <row r="143" customFormat="false" ht="15" hidden="false" customHeight="true" outlineLevel="0" collapsed="false">
      <c r="A143" s="8" t="s">
        <v>285</v>
      </c>
      <c r="B143" s="9" t="n">
        <f aca="false">B141-B142</f>
        <v>-1984.01836306784</v>
      </c>
      <c r="C143" s="9" t="n">
        <f aca="false">C141-C142</f>
        <v>-1984.01836306784</v>
      </c>
      <c r="D143" s="9" t="n">
        <f aca="false">D141-D142</f>
        <v>-1984.01836306784</v>
      </c>
      <c r="E143" s="9" t="n">
        <f aca="false">E141-E142</f>
        <v>5059.82263693216</v>
      </c>
      <c r="F143" s="9" t="n">
        <f aca="false">F141-F142</f>
        <v>5059.82263693216</v>
      </c>
      <c r="G143" s="9" t="n">
        <f aca="false">G141-G142</f>
        <v>5059.82263693216</v>
      </c>
      <c r="H143" s="9" t="n">
        <f aca="false">H141-H142</f>
        <v>9755.71663693216</v>
      </c>
      <c r="I143" s="9" t="n">
        <f aca="false">I141-I142</f>
        <v>9755.71663693216</v>
      </c>
      <c r="J143" s="9" t="n">
        <f aca="false">J141-J142</f>
        <v>9755.71663693216</v>
      </c>
      <c r="K143" s="9" t="n">
        <f aca="false">K141-K142</f>
        <v>9755.71663693216</v>
      </c>
      <c r="L143" s="9" t="n">
        <f aca="false">L141-L142</f>
        <v>9755.71663693216</v>
      </c>
      <c r="M143" s="9" t="n">
        <f aca="false">M141-M142</f>
        <v>9755.71663693216</v>
      </c>
      <c r="N143" s="9" t="n">
        <f aca="false">SUM(B143:M143)</f>
        <v>67761.7126431859</v>
      </c>
    </row>
    <row r="144" customFormat="false" ht="15" hidden="false" customHeight="true" outlineLevel="0" collapsed="false">
      <c r="A144" s="1" t="s">
        <v>286</v>
      </c>
      <c r="B144" s="5" t="n">
        <f aca="false">B143</f>
        <v>-1984.01836306784</v>
      </c>
      <c r="C144" s="5" t="n">
        <f aca="false">B144+C143</f>
        <v>-3968.03672613569</v>
      </c>
      <c r="D144" s="5" t="n">
        <f aca="false">C144+D143</f>
        <v>-5952.05508920353</v>
      </c>
      <c r="E144" s="5" t="n">
        <f aca="false">D144+E143</f>
        <v>-892.232452271375</v>
      </c>
      <c r="F144" s="5" t="n">
        <f aca="false">E144+F143</f>
        <v>4167.59018466078</v>
      </c>
      <c r="G144" s="5" t="n">
        <f aca="false">F144+G143</f>
        <v>9227.41282159294</v>
      </c>
      <c r="H144" s="5" t="n">
        <f aca="false">G144+H143</f>
        <v>18983.1294585251</v>
      </c>
      <c r="I144" s="5" t="n">
        <f aca="false">H144+I143</f>
        <v>28738.8460954573</v>
      </c>
      <c r="J144" s="5" t="n">
        <f aca="false">I144+J143</f>
        <v>38494.5627323894</v>
      </c>
      <c r="K144" s="5" t="n">
        <f aca="false">J144+K143</f>
        <v>48250.2793693216</v>
      </c>
      <c r="L144" s="5" t="n">
        <f aca="false">K144+L143</f>
        <v>58005.9960062537</v>
      </c>
      <c r="M144" s="5" t="n">
        <f aca="false">L144+M143</f>
        <v>67761.7126431859</v>
      </c>
      <c r="N144" s="5" t="n">
        <f aca="false">M144</f>
        <v>67761.7126431859</v>
      </c>
    </row>
  </sheetData>
  <mergeCells count="16">
    <mergeCell ref="A1:N1"/>
    <mergeCell ref="A3:B3"/>
    <mergeCell ref="A11:B11"/>
    <mergeCell ref="A22:B22"/>
    <mergeCell ref="A30:B30"/>
    <mergeCell ref="A35:B35"/>
    <mergeCell ref="A44:B44"/>
    <mergeCell ref="A49:B49"/>
    <mergeCell ref="A62:B62"/>
    <mergeCell ref="A72:N72"/>
    <mergeCell ref="A80:F80"/>
    <mergeCell ref="A88:F88"/>
    <mergeCell ref="A92:F92"/>
    <mergeCell ref="A114:F114"/>
    <mergeCell ref="A119:N119"/>
    <mergeCell ref="A123:N123"/>
  </mergeCells>
  <conditionalFormatting sqref="B112 B143 B144 C112 C143 C144 D112 D143 D144 E112 E143 E144 F112 F143 F144 G143 G144 H143 H144 I143 I144 J143 J144 K143 K144 L143 L144 M143 M144 N143 N144">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A5A6"/>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42"/>
    <col collapsed="false" customWidth="true" hidden="false" outlineLevel="0" max="3" min="2" style="1" width="20"/>
    <col collapsed="false" customWidth="true" hidden="false" outlineLevel="0" max="4" min="4" style="1" width="16"/>
  </cols>
  <sheetData>
    <row r="1" customFormat="false" ht="15" hidden="false" customHeight="true" outlineLevel="0" collapsed="false">
      <c r="A1" s="19" t="s">
        <v>287</v>
      </c>
      <c r="B1" s="19"/>
      <c r="C1" s="19"/>
      <c r="D1" s="19"/>
    </row>
    <row r="2" customFormat="false" ht="15" hidden="false" customHeight="true" outlineLevel="0" collapsed="false">
      <c r="A2" s="20" t="s">
        <v>288</v>
      </c>
    </row>
    <row r="4" customFormat="false" ht="15" hidden="false" customHeight="true" outlineLevel="0" collapsed="false">
      <c r="A4" s="21" t="s">
        <v>289</v>
      </c>
      <c r="B4" s="21" t="s">
        <v>290</v>
      </c>
      <c r="C4" s="21" t="s">
        <v>291</v>
      </c>
      <c r="D4" s="21" t="s">
        <v>292</v>
      </c>
    </row>
    <row r="5" customFormat="false" ht="15" hidden="false" customHeight="true" outlineLevel="0" collapsed="false">
      <c r="A5" s="1" t="s">
        <v>293</v>
      </c>
      <c r="B5" s="22" t="n">
        <f aca="false">'Capital Stack'!B5+'Capital Stack'!B6+'Capital Stack'!B7</f>
        <v>1715814.84375</v>
      </c>
      <c r="C5" s="22" t="n">
        <f aca="false">'Capital Stack'!B8</f>
        <v>1715814.84375</v>
      </c>
      <c r="D5" s="1" t="str">
        <f aca="false">IF(ABS(B5-C5)&lt;1,"PASS","FAIL")</f>
        <v>PASS</v>
      </c>
    </row>
    <row r="6" customFormat="false" ht="15" hidden="false" customHeight="true" outlineLevel="0" collapsed="false">
      <c r="A6" s="1" t="s">
        <v>294</v>
      </c>
      <c r="B6" s="22" t="n">
        <f aca="false">'Capital Stack'!B8*0.75</f>
        <v>1286861.1328125</v>
      </c>
      <c r="C6" s="22" t="n">
        <f aca="false">'Capital Stack'!B10</f>
        <v>1286861.1328125</v>
      </c>
      <c r="D6" s="1" t="str">
        <f aca="false">IF(ABS(B6-C6)&lt;1,"PASS","FAIL")</f>
        <v>PASS</v>
      </c>
    </row>
    <row r="7" customFormat="false" ht="15" hidden="false" customHeight="true" outlineLevel="0" collapsed="false">
      <c r="A7" s="1" t="s">
        <v>295</v>
      </c>
      <c r="B7" s="22" t="n">
        <f aca="false">'Capital Stack'!B8-'Capital Stack'!B10</f>
        <v>428953.7109375</v>
      </c>
      <c r="C7" s="22" t="n">
        <f aca="false">'Capital Stack'!B11</f>
        <v>428953.7109375</v>
      </c>
      <c r="D7" s="1" t="str">
        <f aca="false">IF(ABS(B7-C7)&lt;1,"PASS","FAIL")</f>
        <v>PASS</v>
      </c>
    </row>
    <row r="8" customFormat="false" ht="15" hidden="false" customHeight="true" outlineLevel="0" collapsed="false">
      <c r="A8" s="1" t="s">
        <v>296</v>
      </c>
      <c r="B8" s="22" t="n">
        <f aca="false">'Capital Stack'!B12+'Capital Stack'!B13</f>
        <v>428953.7109375</v>
      </c>
      <c r="C8" s="22" t="n">
        <f aca="false">'Capital Stack'!B11</f>
        <v>428953.7109375</v>
      </c>
      <c r="D8" s="1" t="str">
        <f aca="false">IF(ABS(B8-C8)&lt;1,"PASS","FAIL")</f>
        <v>PASS</v>
      </c>
    </row>
    <row r="9" customFormat="false" ht="15" hidden="false" customHeight="true" outlineLevel="0" collapsed="false">
      <c r="A9" s="1" t="s">
        <v>297</v>
      </c>
      <c r="B9" s="22" t="n">
        <f aca="false">'Capital Stack'!B17*12</f>
        <v>124402.388356814</v>
      </c>
      <c r="C9" s="22" t="n">
        <f aca="false">'Capital Stack'!B18</f>
        <v>124402.388356814</v>
      </c>
      <c r="D9" s="1" t="str">
        <f aca="false">IF(ABS(B9-C9)&lt;1,"PASS","FAIL")</f>
        <v>PASS</v>
      </c>
    </row>
    <row r="10" customFormat="false" ht="15" hidden="false" customHeight="true" outlineLevel="0" collapsed="false">
      <c r="A10" s="1" t="s">
        <v>298</v>
      </c>
      <c r="B10" s="22" t="n">
        <f aca="false">'Operating Model'!B90-'Operating Model'!B108</f>
        <v>192164.101</v>
      </c>
      <c r="C10" s="22" t="n">
        <f aca="false">'Operating Model'!B110</f>
        <v>192164.101</v>
      </c>
      <c r="D10" s="1" t="str">
        <f aca="false">IF(ABS(B10-C10)&lt;1,"PASS","FAIL")</f>
        <v>PASS</v>
      </c>
    </row>
    <row r="11" customFormat="false" ht="15" hidden="false" customHeight="true" outlineLevel="0" collapsed="false">
      <c r="A11" s="1" t="s">
        <v>299</v>
      </c>
      <c r="B11" s="22" t="n">
        <f aca="false">'Operating Model'!B110-'Operating Model'!B111</f>
        <v>67761.7126431858</v>
      </c>
      <c r="C11" s="22" t="n">
        <f aca="false">'Operating Model'!B112</f>
        <v>67761.7126431858</v>
      </c>
      <c r="D11" s="1" t="str">
        <f aca="false">IF(ABS(B11-C11)&lt;1,"PASS","FAIL")</f>
        <v>PASS</v>
      </c>
    </row>
    <row r="12" customFormat="false" ht="15" hidden="false" customHeight="true" outlineLevel="0" collapsed="false">
      <c r="A12" s="1" t="s">
        <v>300</v>
      </c>
      <c r="B12" s="23" t="n">
        <f aca="false">'Operating Model'!B110/'Operating Model'!B111</f>
        <v>1.54469784333103</v>
      </c>
      <c r="C12" s="23" t="n">
        <f aca="false">'Operating Model'!B116</f>
        <v>1.54469784333103</v>
      </c>
      <c r="D12" s="1" t="str">
        <f aca="false">IF(ABS(B12-C12)&lt;0.01,"PASS","FAIL")</f>
        <v>PASS</v>
      </c>
    </row>
    <row r="13" customFormat="false" ht="15" hidden="false" customHeight="true" outlineLevel="0" collapsed="false">
      <c r="A13" s="1" t="s">
        <v>301</v>
      </c>
      <c r="B13" s="23" t="n">
        <f aca="false">'Operating Model'!B112/'Capital Stack'!B11</f>
        <v>0.157969755046737</v>
      </c>
      <c r="C13" s="23" t="n">
        <f aca="false">'Operating Model'!B117</f>
        <v>0.157969755046737</v>
      </c>
      <c r="D13" s="1" t="str">
        <f aca="false">IF(ABS(B13-C13)&lt;0.01,"PASS","FAIL")</f>
        <v>PASS</v>
      </c>
    </row>
    <row r="14" customFormat="false" ht="15" hidden="false" customHeight="true" outlineLevel="0" collapsed="false">
      <c r="A14" s="1" t="s">
        <v>302</v>
      </c>
      <c r="B14" s="22" t="n">
        <f aca="false">'Capital Stack'!B24+'Capital Stack'!B26+'Capital Stack'!B27</f>
        <v>67761.7126431858</v>
      </c>
      <c r="C14" s="22" t="n">
        <f aca="false">'Capital Stack'!B23</f>
        <v>67761.7126431858</v>
      </c>
      <c r="D14" s="1" t="str">
        <f aca="false">IF(ABS(B14-C14)&lt;1,"PASS","FAIL")</f>
        <v>PASS</v>
      </c>
    </row>
    <row r="15" customFormat="false" ht="15" hidden="false" customHeight="true" outlineLevel="0" collapsed="false">
      <c r="A15" s="1" t="s">
        <v>303</v>
      </c>
      <c r="B15" s="22" t="n">
        <f aca="false">'Operating Model'!N78</f>
        <v>535993.05</v>
      </c>
      <c r="C15" s="22" t="n">
        <f aca="false">'Operating Model'!B86</f>
        <v>535993.05</v>
      </c>
      <c r="D15" s="1" t="str">
        <f aca="false">IF(ABS(B15-C15)&lt;1,"PASS","FAIL")</f>
        <v>PASS</v>
      </c>
    </row>
    <row r="16" customFormat="false" ht="15" hidden="false" customHeight="true" outlineLevel="0" collapsed="false">
      <c r="A16" s="1" t="s">
        <v>304</v>
      </c>
      <c r="B16" s="22" t="n">
        <f aca="false">'Operating Model'!N143</f>
        <v>67761.7126431859</v>
      </c>
      <c r="C16" s="22" t="n">
        <f aca="false">'Operating Model'!B112</f>
        <v>67761.7126431858</v>
      </c>
      <c r="D16" s="1" t="str">
        <f aca="false">IF(ABS(B16-C16)&lt;1,"PASS","FAIL")</f>
        <v>PASS</v>
      </c>
    </row>
    <row r="17" customFormat="false" ht="15" hidden="false" customHeight="true" outlineLevel="0" collapsed="false">
      <c r="A17" s="1" t="s">
        <v>305</v>
      </c>
      <c r="B17" s="22" t="n">
        <f aca="false">'Project Timeline'!B50</f>
        <v>1625080</v>
      </c>
      <c r="C17" s="22" t="n">
        <f aca="false">'Renovation Budget'!E45</f>
        <v>1625080</v>
      </c>
      <c r="D17" s="1" t="str">
        <f aca="false">IF(ABS(B17-C17)&lt;1,"PASS","FAIL")</f>
        <v>PASS</v>
      </c>
    </row>
    <row r="18" customFormat="false" ht="15" hidden="false" customHeight="true" outlineLevel="0" collapsed="false">
      <c r="A18" s="1" t="s">
        <v>306</v>
      </c>
      <c r="B18" s="22" t="n">
        <f aca="false">'Project Timeline'!W32</f>
        <v>1286861.1328125</v>
      </c>
      <c r="C18" s="22" t="n">
        <f aca="false">'Capital Stack'!B10</f>
        <v>1286861.1328125</v>
      </c>
      <c r="D18" s="1" t="str">
        <f aca="false">IF(ABS(B18-C18)&lt;1,"PASS","FAIL")</f>
        <v>PASS</v>
      </c>
    </row>
    <row r="19" customFormat="false" ht="15" hidden="false" customHeight="true" outlineLevel="0" collapsed="false">
      <c r="A19" s="1" t="s">
        <v>307</v>
      </c>
      <c r="B19" s="22" t="n">
        <f aca="false">'Project Timeline'!W33</f>
        <v>428953.7109375</v>
      </c>
      <c r="C19" s="22" t="n">
        <f aca="false">'Capital Stack'!B11</f>
        <v>428953.7109375</v>
      </c>
      <c r="D19" s="1" t="str">
        <f aca="false">IF(ABS(B19-C19)&lt;1,"PASS","FAIL")</f>
        <v>PASS</v>
      </c>
    </row>
    <row r="20" customFormat="false" ht="15" hidden="false" customHeight="true" outlineLevel="0" collapsed="false">
      <c r="A20" s="1" t="s">
        <v>308</v>
      </c>
      <c r="B20" s="22" t="n">
        <f aca="false">'Project Timeline'!W35-'Project Timeline'!W43</f>
        <v>67761.7126431861</v>
      </c>
      <c r="C20" s="22" t="n">
        <f aca="false">'Project Timeline'!W45</f>
        <v>67761.7126431859</v>
      </c>
      <c r="D20" s="1" t="str">
        <f aca="false">IF(ABS(B20-C20)&lt;1,"PASS","FAIL")</f>
        <v>PASS</v>
      </c>
    </row>
    <row r="21" customFormat="false" ht="15" hidden="false" customHeight="true" outlineLevel="0" collapsed="false">
      <c r="A21" s="1" t="s">
        <v>309</v>
      </c>
      <c r="B21" s="23" t="n">
        <f aca="false">'Operating Model'!B27</f>
        <v>0.92</v>
      </c>
      <c r="C21" s="23" t="n">
        <f aca="false">'Deal Summary'!B38</f>
        <v>0.666102656992606</v>
      </c>
      <c r="D21" s="1" t="str">
        <f aca="false">IF(C21&lt;B21,"PASS","FAIL")</f>
        <v>PASS</v>
      </c>
    </row>
    <row r="22" customFormat="false" ht="15" hidden="false" customHeight="true" outlineLevel="0" collapsed="false">
      <c r="A22" s="24" t="s">
        <v>310</v>
      </c>
      <c r="B22" s="24"/>
      <c r="C22" s="24"/>
      <c r="D22" s="24" t="str">
        <f aca="false">COUNTIF(D5:D21,"PASS")&amp;" / "&amp;ROWS(D5:D21)</f>
        <v>17 / 17</v>
      </c>
    </row>
  </sheetData>
  <mergeCells count="1">
    <mergeCell ref="A1:D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LibreOffice/25.8.2.2$MacOSX_AARCH64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2026-04-13T11:11:37Z</dcterms:created>
  <dc:creator>openpyxl</dc:creator>
  <dc:description/>
  <dc:language>en-US</dc:language>
  <cp:lastModifiedBy/>
  <dcterms:modified xsi:type="dcterms:W3CDTF">2026-04-13T11:47:57Z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